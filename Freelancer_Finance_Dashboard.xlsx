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Expenses" sheetId="3" state="visible" r:id="rId3"/>
    <sheet xmlns:r="http://schemas.openxmlformats.org/officeDocument/2006/relationships" name="Dashbo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1"/>
    </font>
    <font>
      <b val="1"/>
    </font>
    <font>
      <color rgb="000000FF"/>
    </font>
    <font>
      <color rgb="00666666"/>
      <sz val="10"/>
    </font>
    <font>
      <b val="1"/>
      <color rgb="001F4E79"/>
      <sz val="18"/>
    </font>
    <font>
      <b val="1"/>
      <color rgb="001F4E79"/>
      <sz val="12"/>
    </font>
    <font>
      <b val="1"/>
      <color rgb="00D4A017"/>
      <sz val="24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5" fillId="0" borderId="1" pivotButton="0" quotePrefix="0" xfId="0"/>
    <xf numFmtId="164" fontId="5" fillId="0" borderId="1" pivotButton="0" quotePrefix="0" xfId="0"/>
    <xf numFmtId="0" fontId="0" fillId="0" borderId="1" pivotButton="0" quotePrefix="0" xfId="0"/>
    <xf numFmtId="164" fontId="4" fillId="0" borderId="0" pivotButton="0" quotePrefix="0" xfId="0"/>
    <xf numFmtId="0" fontId="6" fillId="0" borderId="0" pivotButton="0" quotePrefix="0" xfId="0"/>
    <xf numFmtId="164" fontId="7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D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FREELANCER FINANCE DASHBOARD &amp; TAX ESTIMATOR</t>
        </is>
      </c>
      <c r="B1" s="2" t="n"/>
      <c r="C1" s="2" t="n"/>
      <c r="D1" s="2" t="n"/>
    </row>
    <row r="2">
      <c r="A2" s="3" t="inlineStr">
        <is>
          <t>Enter your tax info below. Blue cells = your input. All other cells auto-calculate.</t>
        </is>
      </c>
      <c r="B2" s="4" t="n"/>
      <c r="C2" s="4" t="n"/>
      <c r="D2" s="4" t="n"/>
    </row>
    <row r="3">
      <c r="A3" s="5" t="inlineStr">
        <is>
          <t>Setting</t>
        </is>
      </c>
      <c r="B3" s="5" t="inlineStr">
        <is>
          <t>Value</t>
        </is>
      </c>
      <c r="C3" s="5" t="inlineStr">
        <is>
          <t>Description</t>
        </is>
      </c>
    </row>
    <row r="4">
      <c r="A4" s="6" t="inlineStr">
        <is>
          <t>Tax Year</t>
        </is>
      </c>
      <c r="B4" s="7" t="n">
        <v>2026</v>
      </c>
      <c r="C4" s="8" t="inlineStr">
        <is>
          <t>The tax year this dashboard covers</t>
        </is>
      </c>
    </row>
    <row r="5">
      <c r="A5" s="6" t="inlineStr">
        <is>
          <t>Filing Status</t>
        </is>
      </c>
      <c r="B5" s="7" t="inlineStr">
        <is>
          <t>Single</t>
        </is>
      </c>
      <c r="C5" s="8" t="inlineStr">
        <is>
          <t>Single / Married / Head of Household</t>
        </is>
      </c>
    </row>
    <row r="6">
      <c r="A6" s="6" t="inlineStr">
        <is>
          <t>State</t>
        </is>
      </c>
      <c r="B6" s="7" t="inlineStr">
        <is>
          <t>CA</t>
        </is>
      </c>
      <c r="C6" s="8" t="inlineStr">
        <is>
          <t>Your state of residence for state tax</t>
        </is>
      </c>
    </row>
    <row r="7">
      <c r="A7" s="6" t="inlineStr">
        <is>
          <t>Federal Tax Bracket</t>
        </is>
      </c>
      <c r="B7" s="7" t="n">
        <v>0.24</v>
      </c>
      <c r="C7" s="8" t="inlineStr">
        <is>
          <t>Your marginal federal tax rate</t>
        </is>
      </c>
    </row>
    <row r="8">
      <c r="A8" s="6" t="inlineStr">
        <is>
          <t>State Tax Rate</t>
        </is>
      </c>
      <c r="B8" s="7" t="n">
        <v>0.093</v>
      </c>
      <c r="C8" s="8" t="inlineStr">
        <is>
          <t>Your state income tax rate (CA=9.3%)</t>
        </is>
      </c>
    </row>
    <row r="9">
      <c r="A9" s="6" t="inlineStr">
        <is>
          <t>Self-Employment Tax Rate</t>
        </is>
      </c>
      <c r="B9" s="7" t="n">
        <v>0.153</v>
      </c>
      <c r="C9" s="8" t="inlineStr">
        <is>
          <t>SE tax rate (Social Security + Medicare)</t>
        </is>
      </c>
    </row>
    <row r="11">
      <c r="A11" s="6" t="inlineStr">
        <is>
          <t>Qtr 1 Due Date</t>
        </is>
      </c>
      <c r="B11" s="7" t="inlineStr">
        <is>
          <t>2026-04-15</t>
        </is>
      </c>
      <c r="C11" s="8" t="inlineStr">
        <is>
          <t>Q1 estimated tax due date</t>
        </is>
      </c>
    </row>
    <row r="12">
      <c r="A12" s="6" t="inlineStr">
        <is>
          <t>Qtr 2 Due Date</t>
        </is>
      </c>
      <c r="B12" s="7" t="inlineStr">
        <is>
          <t>2026-06-15</t>
        </is>
      </c>
      <c r="C12" s="8" t="inlineStr">
        <is>
          <t>Q2 estimated tax due date</t>
        </is>
      </c>
    </row>
    <row r="13">
      <c r="A13" s="6" t="inlineStr">
        <is>
          <t>Qtr 3 Due Date</t>
        </is>
      </c>
      <c r="B13" s="7" t="inlineStr">
        <is>
          <t>2026-09-15</t>
        </is>
      </c>
      <c r="C13" s="8" t="inlineStr">
        <is>
          <t>Q3 estimated tax due date</t>
        </is>
      </c>
    </row>
    <row r="14">
      <c r="A14" s="6" t="inlineStr">
        <is>
          <t>Qtr 4 Due Date</t>
        </is>
      </c>
      <c r="B14" s="7" t="inlineStr">
        <is>
          <t>2027-01-15</t>
        </is>
      </c>
      <c r="C14" s="8" t="inlineStr">
        <is>
          <t>Q4 estimated tax due date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4A017"/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2" customWidth="1" min="4" max="4"/>
    <col width="14" customWidth="1" min="5" max="5"/>
    <col width="14" customWidth="1" min="6" max="6"/>
    <col width="16" customWidth="1" min="7" max="7"/>
    <col width="25" customWidth="1" min="8" max="8"/>
  </cols>
  <sheetData>
    <row r="1">
      <c r="A1" s="1" t="inlineStr">
        <is>
          <t>INCOME TRACKER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Record all freelance income here. Blue cells = your input.</t>
        </is>
      </c>
      <c r="B2" s="4" t="n"/>
      <c r="C2" s="4" t="n"/>
      <c r="D2" s="4" t="n"/>
      <c r="E2" s="4" t="n"/>
      <c r="F2" s="4" t="n"/>
      <c r="G2" s="4" t="n"/>
      <c r="H2" s="4" t="n"/>
    </row>
    <row r="4">
      <c r="A4" s="9" t="inlineStr">
        <is>
          <t>Date</t>
        </is>
      </c>
      <c r="B4" s="9" t="inlineStr">
        <is>
          <t>Client</t>
        </is>
      </c>
      <c r="C4" s="9" t="inlineStr">
        <is>
          <t>Project</t>
        </is>
      </c>
      <c r="D4" s="9" t="inlineStr">
        <is>
          <t>Invoice #</t>
        </is>
      </c>
      <c r="E4" s="9" t="inlineStr">
        <is>
          <t>Amount ($)</t>
        </is>
      </c>
      <c r="F4" s="9" t="inlineStr">
        <is>
          <t>Payment Status</t>
        </is>
      </c>
      <c r="G4" s="9" t="inlineStr">
        <is>
          <t>Category</t>
        </is>
      </c>
      <c r="H4" s="9" t="inlineStr">
        <is>
          <t>Notes</t>
        </is>
      </c>
    </row>
    <row r="5">
      <c r="A5" s="10" t="inlineStr">
        <is>
          <t>2026-01-15</t>
        </is>
      </c>
      <c r="B5" s="10" t="inlineStr">
        <is>
          <t>Acme Corp</t>
        </is>
      </c>
      <c r="C5" s="10" t="inlineStr">
        <is>
          <t>Website Redesign</t>
        </is>
      </c>
      <c r="D5" s="10" t="inlineStr">
        <is>
          <t>INV-001</t>
        </is>
      </c>
      <c r="E5" s="11" t="n">
        <v>5000</v>
      </c>
      <c r="F5" s="10" t="inlineStr">
        <is>
          <t>Paid</t>
        </is>
      </c>
      <c r="G5" s="10" t="inlineStr">
        <is>
          <t>Design</t>
        </is>
      </c>
      <c r="H5" s="12" t="inlineStr">
        <is>
          <t>Homepage + 5 pages</t>
        </is>
      </c>
    </row>
    <row r="6">
      <c r="A6" s="10" t="inlineStr">
        <is>
          <t>2026-02-01</t>
        </is>
      </c>
      <c r="B6" s="10" t="inlineStr">
        <is>
          <t>StartupXYZ</t>
        </is>
      </c>
      <c r="C6" s="10" t="inlineStr">
        <is>
          <t>Mobile App</t>
        </is>
      </c>
      <c r="D6" s="10" t="inlineStr">
        <is>
          <t>INV-002</t>
        </is>
      </c>
      <c r="E6" s="11" t="n">
        <v>8500</v>
      </c>
      <c r="F6" s="10" t="inlineStr">
        <is>
          <t>Paid</t>
        </is>
      </c>
      <c r="G6" s="10" t="inlineStr">
        <is>
          <t>Development</t>
        </is>
      </c>
      <c r="H6" s="12" t="inlineStr">
        <is>
          <t>React Native app</t>
        </is>
      </c>
    </row>
    <row r="7">
      <c r="A7" s="10" t="inlineStr">
        <is>
          <t>2026-02-20</t>
        </is>
      </c>
      <c r="B7" s="10" t="inlineStr">
        <is>
          <t>Consulting Co</t>
        </is>
      </c>
      <c r="C7" s="10" t="inlineStr">
        <is>
          <t>Data Analysis</t>
        </is>
      </c>
      <c r="D7" s="10" t="inlineStr">
        <is>
          <t>INV-003</t>
        </is>
      </c>
      <c r="E7" s="11" t="n">
        <v>3200</v>
      </c>
      <c r="F7" s="10" t="inlineStr">
        <is>
          <t>Paid</t>
        </is>
      </c>
      <c r="G7" s="10" t="inlineStr">
        <is>
          <t>Consulting</t>
        </is>
      </c>
      <c r="H7" s="12" t="inlineStr">
        <is>
          <t>Python data pipeline</t>
        </is>
      </c>
    </row>
    <row r="8">
      <c r="A8" s="10" t="inlineStr">
        <is>
          <t>2026-03-10</t>
        </is>
      </c>
      <c r="B8" s="10" t="inlineStr">
        <is>
          <t>Media LLC</t>
        </is>
      </c>
      <c r="C8" s="10" t="inlineStr">
        <is>
          <t>Content Writing</t>
        </is>
      </c>
      <c r="D8" s="10" t="inlineStr">
        <is>
          <t>INV-004</t>
        </is>
      </c>
      <c r="E8" s="11" t="n">
        <v>1500</v>
      </c>
      <c r="F8" s="10" t="inlineStr">
        <is>
          <t>Pending</t>
        </is>
      </c>
      <c r="G8" s="10" t="inlineStr">
        <is>
          <t>Writing</t>
        </is>
      </c>
      <c r="H8" s="12" t="inlineStr">
        <is>
          <t>10 blog articles</t>
        </is>
      </c>
    </row>
    <row r="9">
      <c r="A9" s="10" t="inlineStr">
        <is>
          <t>2026-03-25</t>
        </is>
      </c>
      <c r="B9" s="10" t="inlineStr">
        <is>
          <t>TechStart</t>
        </is>
      </c>
      <c r="C9" s="10" t="inlineStr">
        <is>
          <t>API Integration</t>
        </is>
      </c>
      <c r="D9" s="10" t="inlineStr">
        <is>
          <t>INV-005</t>
        </is>
      </c>
      <c r="E9" s="11" t="n">
        <v>6000</v>
      </c>
      <c r="F9" s="10" t="inlineStr">
        <is>
          <t>Paid</t>
        </is>
      </c>
      <c r="G9" s="10" t="inlineStr">
        <is>
          <t>Development</t>
        </is>
      </c>
      <c r="H9" s="12" t="inlineStr">
        <is>
          <t>Stripe + webhook setup</t>
        </is>
      </c>
    </row>
    <row r="10">
      <c r="A10" s="6" t="inlineStr">
        <is>
          <t>TOTALS</t>
        </is>
      </c>
      <c r="E10" s="13">
        <f>SUM(E5:E9)</f>
        <v/>
      </c>
      <c r="F10" s="6">
        <f>COUNTIF(F5:F9,"Paid")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H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16" customWidth="1" min="4" max="4"/>
    <col width="14" customWidth="1" min="5" max="5"/>
    <col width="12" customWidth="1" min="6" max="6"/>
    <col width="12" customWidth="1" min="7" max="7"/>
    <col width="20" customWidth="1" min="8" max="8"/>
  </cols>
  <sheetData>
    <row r="1">
      <c r="A1" s="1" t="inlineStr">
        <is>
          <t>EXPENSE TRACKER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Record all business expenses. Mark deductible items for tax estimation.</t>
        </is>
      </c>
      <c r="B2" s="4" t="n"/>
      <c r="C2" s="4" t="n"/>
      <c r="D2" s="4" t="n"/>
      <c r="E2" s="4" t="n"/>
      <c r="F2" s="4" t="n"/>
      <c r="G2" s="4" t="n"/>
      <c r="H2" s="4" t="n"/>
    </row>
    <row r="4">
      <c r="A4" s="9" t="inlineStr">
        <is>
          <t>Date</t>
        </is>
      </c>
      <c r="B4" s="9" t="inlineStr">
        <is>
          <t>Vendor</t>
        </is>
      </c>
      <c r="C4" s="9" t="inlineStr">
        <is>
          <t>Description</t>
        </is>
      </c>
      <c r="D4" s="9" t="inlineStr">
        <is>
          <t>Category</t>
        </is>
      </c>
      <c r="E4" s="9" t="inlineStr">
        <is>
          <t>Amount ($)</t>
        </is>
      </c>
      <c r="F4" s="9" t="inlineStr">
        <is>
          <t>Deductible?</t>
        </is>
      </c>
      <c r="G4" s="9" t="inlineStr">
        <is>
          <t>Receipt</t>
        </is>
      </c>
      <c r="H4" s="9" t="inlineStr">
        <is>
          <t>Notes</t>
        </is>
      </c>
    </row>
    <row r="5">
      <c r="A5" s="10" t="inlineStr">
        <is>
          <t>2026-01-05</t>
        </is>
      </c>
      <c r="B5" s="10" t="inlineStr">
        <is>
          <t>Adobe</t>
        </is>
      </c>
      <c r="C5" s="10" t="inlineStr">
        <is>
          <t>Creative Cloud Annual</t>
        </is>
      </c>
      <c r="D5" s="10" t="inlineStr">
        <is>
          <t>Software &amp; Tools</t>
        </is>
      </c>
      <c r="E5" s="11" t="n">
        <v>600</v>
      </c>
      <c r="F5" s="10" t="inlineStr">
        <is>
          <t>Yes</t>
        </is>
      </c>
      <c r="G5" s="10" t="inlineStr"/>
      <c r="H5" s="12" t="inlineStr">
        <is>
          <t>Annual subscription</t>
        </is>
      </c>
    </row>
    <row r="6">
      <c r="A6" s="10" t="inlineStr">
        <is>
          <t>2026-01-10</t>
        </is>
      </c>
      <c r="B6" s="10" t="inlineStr">
        <is>
          <t>Staples</t>
        </is>
      </c>
      <c r="C6" s="10" t="inlineStr">
        <is>
          <t>Printer paper, ink</t>
        </is>
      </c>
      <c r="D6" s="10" t="inlineStr">
        <is>
          <t>Office Supplies</t>
        </is>
      </c>
      <c r="E6" s="11" t="n">
        <v>85</v>
      </c>
      <c r="F6" s="10" t="inlineStr">
        <is>
          <t>Yes</t>
        </is>
      </c>
      <c r="G6" s="10" t="inlineStr"/>
      <c r="H6" s="12" t="inlineStr"/>
    </row>
    <row r="7">
      <c r="A7" s="10" t="inlineStr">
        <is>
          <t>2026-01-15</t>
        </is>
      </c>
      <c r="B7" s="10" t="inlineStr">
        <is>
          <t>Comcast</t>
        </is>
      </c>
      <c r="C7" s="10" t="inlineStr">
        <is>
          <t>Monthly internet</t>
        </is>
      </c>
      <c r="D7" s="10" t="inlineStr">
        <is>
          <t>Internet &amp; Phone</t>
        </is>
      </c>
      <c r="E7" s="11" t="n">
        <v>120</v>
      </c>
      <c r="F7" s="10" t="inlineStr">
        <is>
          <t>Yes</t>
        </is>
      </c>
      <c r="G7" s="10" t="inlineStr"/>
      <c r="H7" s="12" t="inlineStr">
        <is>
          <t>50% business use</t>
        </is>
      </c>
    </row>
    <row r="8">
      <c r="A8" s="10" t="inlineStr">
        <is>
          <t>2026-02-01</t>
        </is>
      </c>
      <c r="B8" s="10" t="inlineStr">
        <is>
          <t>GitHub</t>
        </is>
      </c>
      <c r="C8" s="10" t="inlineStr">
        <is>
          <t>Pro plan annual</t>
        </is>
      </c>
      <c r="D8" s="10" t="inlineStr">
        <is>
          <t>Software &amp; Tools</t>
        </is>
      </c>
      <c r="E8" s="11" t="n">
        <v>199</v>
      </c>
      <c r="F8" s="10" t="inlineStr">
        <is>
          <t>Yes</t>
        </is>
      </c>
      <c r="G8" s="10" t="inlineStr"/>
      <c r="H8" s="12" t="inlineStr"/>
    </row>
    <row r="9">
      <c r="A9" s="10" t="inlineStr">
        <is>
          <t>2026-02-10</t>
        </is>
      </c>
      <c r="B9" s="10" t="inlineStr">
        <is>
          <t>Delta</t>
        </is>
      </c>
      <c r="C9" s="10" t="inlineStr">
        <is>
          <t>Flight to client meeting</t>
        </is>
      </c>
      <c r="D9" s="10" t="inlineStr">
        <is>
          <t>Travel</t>
        </is>
      </c>
      <c r="E9" s="11" t="n">
        <v>450</v>
      </c>
      <c r="F9" s="10" t="inlineStr">
        <is>
          <t>Yes</t>
        </is>
      </c>
      <c r="G9" s="10" t="inlineStr"/>
      <c r="H9" s="12" t="inlineStr">
        <is>
          <t>SF client visit</t>
        </is>
      </c>
    </row>
    <row r="10">
      <c r="A10" s="10" t="inlineStr">
        <is>
          <t>2026-02-15</t>
        </is>
      </c>
      <c r="B10" s="10" t="inlineStr">
        <is>
          <t>LinkedIn</t>
        </is>
      </c>
      <c r="C10" s="10" t="inlineStr">
        <is>
          <t>Premium monthly</t>
        </is>
      </c>
      <c r="D10" s="10" t="inlineStr">
        <is>
          <t>Marketing</t>
        </is>
      </c>
      <c r="E10" s="11" t="n">
        <v>60</v>
      </c>
      <c r="F10" s="10" t="inlineStr">
        <is>
          <t>Yes</t>
        </is>
      </c>
      <c r="G10" s="10" t="inlineStr"/>
      <c r="H10" s="12" t="inlineStr"/>
    </row>
    <row r="11">
      <c r="A11" s="10" t="inlineStr">
        <is>
          <t>2026-03-01</t>
        </is>
      </c>
      <c r="B11" s="10" t="inlineStr">
        <is>
          <t>Coursera</t>
        </is>
      </c>
      <c r="C11" s="10" t="inlineStr">
        <is>
          <t>ML specialization</t>
        </is>
      </c>
      <c r="D11" s="10" t="inlineStr">
        <is>
          <t>Education</t>
        </is>
      </c>
      <c r="E11" s="11" t="n">
        <v>399</v>
      </c>
      <c r="F11" s="10" t="inlineStr">
        <is>
          <t>Yes</t>
        </is>
      </c>
      <c r="G11" s="10" t="inlineStr"/>
      <c r="H11" s="12" t="inlineStr">
        <is>
          <t>Skill upgrade</t>
        </is>
      </c>
    </row>
    <row r="12">
      <c r="A12" s="10" t="inlineStr">
        <is>
          <t>2026-03-05</t>
        </is>
      </c>
      <c r="B12" s="10" t="inlineStr">
        <is>
          <t>Apple</t>
        </is>
      </c>
      <c r="C12" s="10" t="inlineStr">
        <is>
          <t>MacBook Pro</t>
        </is>
      </c>
      <c r="D12" s="10" t="inlineStr">
        <is>
          <t>Equipment</t>
        </is>
      </c>
      <c r="E12" s="11" t="n">
        <v>2499</v>
      </c>
      <c r="F12" s="10" t="inlineStr">
        <is>
          <t>Yes</t>
        </is>
      </c>
      <c r="G12" s="10" t="inlineStr"/>
      <c r="H12" s="12" t="inlineStr">
        <is>
          <t>Primary work machine</t>
        </is>
      </c>
    </row>
    <row r="13">
      <c r="A13" s="10" t="inlineStr">
        <is>
          <t>2026-03-10</t>
        </is>
      </c>
      <c r="B13" s="10" t="inlineStr">
        <is>
          <t>Starbucks</t>
        </is>
      </c>
      <c r="C13" s="10" t="inlineStr">
        <is>
          <t>Client meeting coffee</t>
        </is>
      </c>
      <c r="D13" s="10" t="inlineStr">
        <is>
          <t>Meals</t>
        </is>
      </c>
      <c r="E13" s="11" t="n">
        <v>25</v>
      </c>
      <c r="F13" s="10" t="inlineStr">
        <is>
          <t>50%</t>
        </is>
      </c>
      <c r="G13" s="10" t="inlineStr"/>
      <c r="H13" s="12" t="inlineStr">
        <is>
          <t>50% deductible</t>
        </is>
      </c>
    </row>
    <row r="14">
      <c r="A14" s="10" t="inlineStr">
        <is>
          <t>2026-03-15</t>
        </is>
      </c>
      <c r="B14" s="10" t="inlineStr">
        <is>
          <t>WeWork</t>
        </is>
      </c>
      <c r="C14" s="10" t="inlineStr">
        <is>
          <t>Monthly desk</t>
        </is>
      </c>
      <c r="D14" s="10" t="inlineStr">
        <is>
          <t>Home Office</t>
        </is>
      </c>
      <c r="E14" s="11" t="n">
        <v>350</v>
      </c>
      <c r="F14" s="10" t="inlineStr">
        <is>
          <t>Yes</t>
        </is>
      </c>
      <c r="G14" s="10" t="inlineStr"/>
      <c r="H14" s="12" t="inlineStr">
        <is>
          <t>Coworking space</t>
        </is>
      </c>
    </row>
    <row r="15">
      <c r="A15" s="6" t="inlineStr">
        <is>
          <t>TOTALS</t>
        </is>
      </c>
      <c r="D15" s="6" t="inlineStr">
        <is>
          <t>Total Deductible:</t>
        </is>
      </c>
      <c r="E15" s="13">
        <f>SUM(E5:E14)</f>
        <v/>
      </c>
      <c r="F15" s="13">
        <f>SUMIF(F5:F14,"Yes",E5:E14)+SUMIF(F5:F14,"50%",E5:E14)*0.5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H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FREELANCER FINANCE DASHBOARD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4" t="inlineStr">
        <is>
          <t>Total Income</t>
        </is>
      </c>
      <c r="C3" s="14" t="inlineStr">
        <is>
          <t>Total Expenses</t>
        </is>
      </c>
      <c r="E3" s="14" t="inlineStr">
        <is>
          <t>Net Income</t>
        </is>
      </c>
      <c r="G3" s="14" t="inlineStr">
        <is>
          <t>Deductible Exp.</t>
        </is>
      </c>
    </row>
    <row r="4">
      <c r="A4" s="15">
        <f>Income!E10</f>
        <v/>
      </c>
      <c r="C4" s="15">
        <f>Expenses!E15</f>
        <v/>
      </c>
      <c r="E4" s="15">
        <f>B3-B4</f>
        <v/>
      </c>
      <c r="G4" s="15">
        <f>Expenses!F15</f>
        <v/>
      </c>
    </row>
    <row r="5">
      <c r="A5" s="14" t="inlineStr">
        <is>
          <t>Est. Fed. Tax</t>
        </is>
      </c>
      <c r="C5" s="14" t="inlineStr">
        <is>
          <t>Est. State Tax</t>
        </is>
      </c>
      <c r="E5" s="14" t="inlineStr">
        <is>
          <t>Est. SE Tax</t>
        </is>
      </c>
      <c r="G5" s="14" t="inlineStr">
        <is>
          <t>Total Est. Tax</t>
        </is>
      </c>
    </row>
    <row r="6">
      <c r="A6" s="15">
        <f>B5*Setup!B7</f>
        <v/>
      </c>
      <c r="C6" s="15">
        <f>B5*Setup!B8</f>
        <v/>
      </c>
      <c r="E6" s="15">
        <f>B5*Setup!B9</f>
        <v/>
      </c>
      <c r="G6" s="15">
        <f>B6+B7+B8</f>
        <v/>
      </c>
    </row>
    <row r="9">
      <c r="A9" s="16" t="inlineStr">
        <is>
          <t>Income by Category</t>
        </is>
      </c>
    </row>
    <row r="10">
      <c r="A10" s="5" t="inlineStr">
        <is>
          <t>Category</t>
        </is>
      </c>
      <c r="B10" s="5" t="inlineStr">
        <is>
          <t>Total</t>
        </is>
      </c>
      <c r="C10" s="5" t="inlineStr">
        <is>
          <t>% of Income</t>
        </is>
      </c>
    </row>
    <row r="11">
      <c r="A11" t="inlineStr">
        <is>
          <t>Design</t>
        </is>
      </c>
      <c r="B11" s="17">
        <f>SUMIF(Income!G5:G9,"Design",Income!E5:E9)</f>
        <v/>
      </c>
      <c r="C11" s="18">
        <f>IF(Income!E10&gt;0,B11/Income!E10,0)</f>
        <v/>
      </c>
    </row>
    <row r="12">
      <c r="A12" t="inlineStr">
        <is>
          <t>Development</t>
        </is>
      </c>
      <c r="B12" s="17">
        <f>SUMIF(Income!G5:G9,"Development",Income!E5:E9)</f>
        <v/>
      </c>
      <c r="C12" s="18">
        <f>IF(Income!E10&gt;0,B12/Income!E10,0)</f>
        <v/>
      </c>
    </row>
    <row r="13">
      <c r="A13" t="inlineStr">
        <is>
          <t>Consulting</t>
        </is>
      </c>
      <c r="B13" s="17">
        <f>SUMIF(Income!G5:G9,"Consulting",Income!E5:E9)</f>
        <v/>
      </c>
      <c r="C13" s="18">
        <f>IF(Income!E10&gt;0,B13/Income!E10,0)</f>
        <v/>
      </c>
    </row>
    <row r="14">
      <c r="A14" t="inlineStr">
        <is>
          <t>Writing</t>
        </is>
      </c>
      <c r="B14" s="17">
        <f>SUMIF(Income!G5:G9,"Writing",Income!E5:E9)</f>
        <v/>
      </c>
      <c r="C14" s="18">
        <f>IF(Income!E10&gt;0,B14/Income!E10,0)</f>
        <v/>
      </c>
    </row>
    <row r="16">
      <c r="A16" s="16" t="inlineStr">
        <is>
          <t>Expenses by Category</t>
        </is>
      </c>
    </row>
    <row r="17">
      <c r="A17" s="5" t="inlineStr">
        <is>
          <t>Category</t>
        </is>
      </c>
      <c r="B17" s="5" t="inlineStr">
        <is>
          <t>Total</t>
        </is>
      </c>
      <c r="C17" s="5" t="inlineStr">
        <is>
          <t>Deductible</t>
        </is>
      </c>
    </row>
    <row r="18">
      <c r="A18" t="inlineStr">
        <is>
          <t>Software &amp; Tools</t>
        </is>
      </c>
      <c r="B18" s="17">
        <f>SUMIF(Expenses!D5:D14,"Software &amp; Tools",Expenses!E5:E14)</f>
        <v/>
      </c>
      <c r="C18">
        <f>SUMIF(Expenses!D5:D14,"Software &amp; Tools",Expenses!F5:F14)</f>
        <v/>
      </c>
    </row>
    <row r="19">
      <c r="A19" t="inlineStr">
        <is>
          <t>Office Supplies</t>
        </is>
      </c>
      <c r="B19" s="17">
        <f>SUMIF(Expenses!D5:D14,"Office Supplies",Expenses!E5:E14)</f>
        <v/>
      </c>
      <c r="C19">
        <f>SUMIF(Expenses!D5:D14,"Office Supplies",Expenses!F5:F14)</f>
        <v/>
      </c>
    </row>
    <row r="20">
      <c r="A20" t="inlineStr">
        <is>
          <t>Internet &amp; Phone</t>
        </is>
      </c>
      <c r="B20" s="17">
        <f>SUMIF(Expenses!D5:D14,"Internet &amp; Phone",Expenses!E5:E14)</f>
        <v/>
      </c>
      <c r="C20">
        <f>SUMIF(Expenses!D5:D14,"Internet &amp; Phone",Expenses!F5:F14)</f>
        <v/>
      </c>
    </row>
    <row r="21">
      <c r="A21" t="inlineStr">
        <is>
          <t>Travel</t>
        </is>
      </c>
      <c r="B21" s="17">
        <f>SUMIF(Expenses!D5:D14,"Travel",Expenses!E5:E14)</f>
        <v/>
      </c>
      <c r="C21">
        <f>SUMIF(Expenses!D5:D14,"Travel",Expenses!F5:F14)</f>
        <v/>
      </c>
    </row>
    <row r="22">
      <c r="A22" t="inlineStr">
        <is>
          <t>Equipment</t>
        </is>
      </c>
      <c r="B22" s="17">
        <f>SUMIF(Expenses!D5:D14,"Equipment",Expenses!E5:E14)</f>
        <v/>
      </c>
      <c r="C22">
        <f>SUMIF(Expenses!D5:D14,"Equipment",Expenses!F5:F14)</f>
        <v/>
      </c>
    </row>
    <row r="23">
      <c r="A23" t="inlineStr">
        <is>
          <t>Home Office</t>
        </is>
      </c>
      <c r="B23" s="17">
        <f>SUMIF(Expenses!D5:D14,"Home Office",Expenses!E5:E14)</f>
        <v/>
      </c>
      <c r="C23">
        <f>SUMIF(Expenses!D5:D14,"Home Office",Expenses!F5:F14)</f>
        <v/>
      </c>
    </row>
    <row r="25">
      <c r="A25" s="16" t="inlineStr">
        <is>
          <t>Quarterly Tax Payment Schedule</t>
        </is>
      </c>
    </row>
    <row r="26">
      <c r="A26" s="5" t="inlineStr">
        <is>
          <t>Quarter</t>
        </is>
      </c>
      <c r="B26" s="5" t="inlineStr">
        <is>
          <t>Due Date</t>
        </is>
      </c>
      <c r="C26" s="5" t="inlineStr">
        <is>
          <t>Estimated Payment</t>
        </is>
      </c>
    </row>
    <row r="27">
      <c r="A27" t="inlineStr">
        <is>
          <t>Q1</t>
        </is>
      </c>
      <c r="B27" s="19">
        <f>Setup!B11</f>
        <v/>
      </c>
      <c r="C27" s="17">
        <f>B9/4</f>
        <v/>
      </c>
    </row>
    <row r="28">
      <c r="A28" t="inlineStr">
        <is>
          <t>Q2</t>
        </is>
      </c>
      <c r="B28" s="19">
        <f>Setup!B12</f>
        <v/>
      </c>
      <c r="C28" s="17">
        <f>B9/4</f>
        <v/>
      </c>
    </row>
    <row r="29">
      <c r="A29" t="inlineStr">
        <is>
          <t>Q3</t>
        </is>
      </c>
      <c r="B29" s="19">
        <f>Setup!B13</f>
        <v/>
      </c>
      <c r="C29" s="17">
        <f>B9/4</f>
        <v/>
      </c>
    </row>
    <row r="30">
      <c r="A30" t="inlineStr">
        <is>
          <t>Q4</t>
        </is>
      </c>
      <c r="B30" s="19">
        <f>Setup!B14</f>
        <v/>
      </c>
      <c r="C30" s="17">
        <f>B9/4</f>
        <v/>
      </c>
    </row>
    <row r="32">
      <c r="A32" s="16" t="inlineStr">
        <is>
          <t>Net Profit Margin</t>
        </is>
      </c>
    </row>
    <row r="33">
      <c r="A33" t="inlineStr">
        <is>
          <t>Margin</t>
        </is>
      </c>
      <c r="B33" s="20">
        <f>IF(B3&gt;0,B5/B3,0)</f>
        <v/>
      </c>
    </row>
  </sheetData>
  <mergeCells count="5">
    <mergeCell ref="A25:C25"/>
    <mergeCell ref="A16:B16"/>
    <mergeCell ref="A32:B32"/>
    <mergeCell ref="A1:H1"/>
    <mergeCell ref="A9:B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2026-05-12T02:22:01Z</dcterms:created>
  <dcterms:modified xmlns:dcterms="http://purl.org/dc/terms/" xmlns:xsi="http://www.w3.org/2001/XMLSchema-instance" xsi:type="dcterms:W3CDTF">2026-05-12T02:22:01Z</dcterms:modified>
</cp:coreProperties>
</file>