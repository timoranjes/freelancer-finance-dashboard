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1B2A4A"/>
      <sz val="18"/>
    </font>
    <font>
      <name val="Arial"/>
      <b val="1"/>
      <color rgb="001B2A4A"/>
      <sz val="10"/>
    </font>
    <font>
      <name val="Arial"/>
      <sz val="10"/>
    </font>
    <font>
      <name val="Arial"/>
      <b val="1"/>
      <color rgb="001B2A4A"/>
      <sz val="12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D4A843"/>
      <sz val="11"/>
    </font>
    <font>
      <name val="Arial"/>
      <b val="1"/>
      <color rgb="00FFFFFF"/>
      <sz val="18"/>
    </font>
    <font>
      <name val="Arial"/>
      <b val="1"/>
      <color rgb="000F1B33"/>
      <sz val="9"/>
    </font>
    <font>
      <name val="Arial"/>
      <b val="1"/>
      <color rgb="001B2A4A"/>
      <sz val="14"/>
    </font>
    <font>
      <name val="Arial"/>
      <b val="1"/>
      <color rgb="0027AE60"/>
      <sz val="14"/>
    </font>
    <font>
      <name val="Arial"/>
      <b val="1"/>
      <color rgb="00E74C3C"/>
      <sz val="14"/>
    </font>
    <font>
      <name val="Arial"/>
      <b val="1"/>
      <color rgb="00FFFFFF"/>
      <sz val="10"/>
    </font>
    <font>
      <name val="Arial"/>
      <b val="1"/>
      <color rgb="00D4A843"/>
      <sz val="10"/>
    </font>
    <font>
      <name val="Arial"/>
      <b val="1"/>
      <color rgb="FFFFFFFF"/>
      <sz val="18"/>
    </font>
    <font>
      <name val="Arial"/>
      <b val="1"/>
      <color rgb="FF0F1B33"/>
      <sz val="9"/>
    </font>
    <font>
      <name val="Arial"/>
      <b val="1"/>
      <color rgb="FF1B2A4A"/>
      <sz val="14"/>
    </font>
    <font>
      <name val="Arial"/>
      <b val="1"/>
      <color rgb="FF27AE60"/>
      <sz val="14"/>
    </font>
    <font>
      <name val="Arial"/>
      <b val="1"/>
      <color rgb="FFE74C3C"/>
      <sz val="14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1B2A4A"/>
      <sz val="10"/>
    </font>
    <font>
      <name val="Arial"/>
      <b val="1"/>
      <color rgb="FFFFFFFF"/>
      <sz val="10"/>
    </font>
    <font>
      <name val="Arial"/>
      <b val="1"/>
      <color rgb="FFD4A843"/>
      <sz val="10"/>
    </font>
  </fonts>
  <fills count="6">
    <fill>
      <patternFill/>
    </fill>
    <fill>
      <patternFill patternType="gray125"/>
    </fill>
    <fill>
      <patternFill patternType="solid">
        <fgColor rgb="00F5E6C8"/>
      </patternFill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4" fillId="2" borderId="0" pivotButton="0" quotePrefix="0" xfId="0"/>
    <xf numFmtId="0" fontId="3" fillId="0" borderId="0" applyAlignment="1" pivotButton="0" quotePrefix="0" xfId="0">
      <alignment wrapText="1"/>
    </xf>
    <xf numFmtId="0" fontId="6" fillId="3" borderId="1" applyAlignment="1" pivotButton="0" quotePrefix="0" xfId="0">
      <alignment horizontal="center" vertical="center" wrapText="1"/>
    </xf>
    <xf numFmtId="164" fontId="3" fillId="4" borderId="1" pivotButton="0" quotePrefix="0" xfId="0"/>
    <xf numFmtId="4" fontId="3" fillId="4" borderId="1" pivotButton="0" quotePrefix="0" xfId="0"/>
    <xf numFmtId="164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6" fillId="3" borderId="1" applyAlignment="1" pivotButton="0" quotePrefix="0" xfId="0">
      <alignment horizontal="right"/>
    </xf>
    <xf numFmtId="4" fontId="7" fillId="3" borderId="1" pivotButton="0" quotePrefix="0" xfId="0"/>
    <xf numFmtId="0" fontId="8" fillId="3" borderId="0" applyAlignment="1" pivotButton="0" quotePrefix="0" xfId="0">
      <alignment horizontal="center"/>
    </xf>
    <xf numFmtId="0" fontId="0" fillId="3" borderId="0" pivotButton="0" quotePrefix="0" xfId="0"/>
    <xf numFmtId="0" fontId="9" fillId="2" borderId="1" applyAlignment="1" pivotButton="0" quotePrefix="0" xfId="0">
      <alignment horizontal="center" wrapText="1"/>
    </xf>
    <xf numFmtId="4" fontId="10" fillId="5" borderId="1" applyAlignment="1" pivotButton="0" quotePrefix="0" xfId="0">
      <alignment horizontal="center"/>
    </xf>
    <xf numFmtId="4" fontId="11" fillId="5" borderId="1" applyAlignment="1" pivotButton="0" quotePrefix="0" xfId="0">
      <alignment horizontal="center"/>
    </xf>
    <xf numFmtId="165" fontId="10" fillId="5" borderId="1" applyAlignment="1" pivotButton="0" quotePrefix="0" xfId="0">
      <alignment horizontal="center"/>
    </xf>
    <xf numFmtId="4" fontId="12" fillId="5" borderId="1" applyAlignment="1" pivotButton="0" quotePrefix="0" xfId="0">
      <alignment horizontal="center"/>
    </xf>
    <xf numFmtId="0" fontId="5" fillId="3" borderId="1" pivotButton="0" quotePrefix="0" xfId="0"/>
    <xf numFmtId="0" fontId="13" fillId="3" borderId="1" pivotButton="0" quotePrefix="0" xfId="0"/>
    <xf numFmtId="4" fontId="14" fillId="3" borderId="1" pivotButton="0" quotePrefix="0" xfId="0"/>
    <xf numFmtId="4" fontId="0" fillId="4" borderId="1" pivotButton="0" quotePrefix="0" xfId="0"/>
    <xf numFmtId="165" fontId="0" fillId="4" borderId="1" pivotButton="0" quotePrefix="0" xfId="0"/>
    <xf numFmtId="4" fontId="0" fillId="0" borderId="1" pivotButton="0" quotePrefix="0" xfId="0"/>
    <xf numFmtId="165" fontId="0" fillId="0" borderId="1" pivotButton="0" quotePrefix="0" xfId="0"/>
    <xf numFmtId="165" fontId="14" fillId="3" borderId="1" pivotButton="0" quotePrefix="0" xfId="0"/>
    <xf numFmtId="1" fontId="0" fillId="4" borderId="1" pivotButton="0" quotePrefix="0" xfId="0"/>
    <xf numFmtId="1" fontId="0" fillId="0" borderId="1" pivotButton="0" quotePrefix="0" xfId="0"/>
    <xf numFmtId="0" fontId="15" fillId="3" borderId="0" applyAlignment="1" pivotButton="0" quotePrefix="0" xfId="0">
      <alignment horizontal="center"/>
    </xf>
    <xf numFmtId="0" fontId="16" fillId="2" borderId="1" applyAlignment="1" pivotButton="0" quotePrefix="0" xfId="0">
      <alignment horizontal="center" wrapText="1"/>
    </xf>
    <xf numFmtId="4" fontId="17" fillId="5" borderId="1" applyAlignment="1" pivotButton="0" quotePrefix="0" xfId="0">
      <alignment horizontal="center"/>
    </xf>
    <xf numFmtId="4" fontId="18" fillId="5" borderId="1" applyAlignment="1" pivotButton="0" quotePrefix="0" xfId="0">
      <alignment horizontal="center"/>
    </xf>
    <xf numFmtId="165" fontId="17" fillId="5" borderId="1" applyAlignment="1" pivotButton="0" quotePrefix="0" xfId="0">
      <alignment horizontal="center"/>
    </xf>
    <xf numFmtId="4" fontId="19" fillId="5" borderId="1" applyAlignment="1" pivotButton="0" quotePrefix="0" xfId="0">
      <alignment horizontal="center"/>
    </xf>
    <xf numFmtId="0" fontId="20" fillId="3" borderId="1" pivotButton="0" quotePrefix="0" xfId="0"/>
    <xf numFmtId="0" fontId="21" fillId="3" borderId="1" applyAlignment="1" pivotButton="0" quotePrefix="0" xfId="0">
      <alignment horizontal="center"/>
    </xf>
    <xf numFmtId="0" fontId="23" fillId="3" borderId="1" pivotButton="0" quotePrefix="0" xfId="0"/>
    <xf numFmtId="4" fontId="24" fillId="3" borderId="1" pivotButton="0" quotePrefix="0" xfId="0"/>
    <xf numFmtId="0" fontId="22" fillId="4" borderId="1" pivotButton="0" quotePrefix="0" xfId="0"/>
    <xf numFmtId="0" fontId="22" fillId="0" borderId="1" pivotButton="0" quotePrefix="0" xfId="0"/>
    <xf numFmtId="165" fontId="2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D3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0" customWidth="1" min="3" max="3"/>
    <col width="25" customWidth="1" min="4" max="4"/>
  </cols>
  <sheetData>
    <row r="2">
      <c r="B2" s="1" t="inlineStr">
        <is>
          <t>Freelancer Finance Dashboard — Setup Guide</t>
        </is>
      </c>
    </row>
    <row r="4">
      <c r="B4" s="2" t="inlineStr">
        <is>
          <t>Tax Year</t>
        </is>
      </c>
      <c r="C4" s="3" t="n">
        <v>2026</v>
      </c>
    </row>
    <row r="5">
      <c r="B5" s="2" t="inlineStr">
        <is>
          <t>Business Name (optional)</t>
        </is>
      </c>
      <c r="C5" s="3" t="inlineStr"/>
    </row>
    <row r="6">
      <c r="B6" s="2" t="inlineStr">
        <is>
          <t>State (for tax estimation)</t>
        </is>
      </c>
      <c r="C6" s="3" t="inlineStr"/>
    </row>
    <row r="7">
      <c r="B7" s="2" t="inlineStr">
        <is>
          <t>Filing Status</t>
        </is>
      </c>
      <c r="C7" s="3" t="inlineStr">
        <is>
          <t>Single</t>
        </is>
      </c>
    </row>
    <row r="22">
      <c r="B22" s="4" t="inlineStr">
        <is>
          <t>Expense Categories Reference</t>
        </is>
      </c>
      <c r="C22" s="4" t="inlineStr">
        <is>
          <t>Description</t>
        </is>
      </c>
      <c r="D22" s="4" t="inlineStr">
        <is>
          <t>Deductibility</t>
        </is>
      </c>
    </row>
    <row r="23">
      <c r="B23" s="5" t="inlineStr">
        <is>
          <t>Office Supplies</t>
        </is>
      </c>
      <c r="C23" s="6" t="inlineStr">
        <is>
          <t>Paper, ink, software subscriptions</t>
        </is>
      </c>
      <c r="D23" s="6" t="inlineStr">
        <is>
          <t>100%</t>
        </is>
      </c>
    </row>
    <row r="24">
      <c r="B24" s="7" t="inlineStr">
        <is>
          <t>Home Office</t>
        </is>
      </c>
      <c r="C24" s="8" t="inlineStr">
        <is>
          <t>Rent/utilities portion, internet</t>
        </is>
      </c>
      <c r="D24" s="8" t="inlineStr">
        <is>
          <t>% of sq footage</t>
        </is>
      </c>
    </row>
    <row r="25">
      <c r="B25" s="5" t="inlineStr">
        <is>
          <t>Travel</t>
        </is>
      </c>
      <c r="C25" s="6" t="inlineStr">
        <is>
          <t>Client meetings, conferences</t>
        </is>
      </c>
      <c r="D25" s="6" t="inlineStr">
        <is>
          <t>100% if business</t>
        </is>
      </c>
    </row>
    <row r="26">
      <c r="B26" s="7" t="inlineStr">
        <is>
          <t>Meals &amp; Entertainment</t>
        </is>
      </c>
      <c r="C26" s="8" t="inlineStr">
        <is>
          <t>Client meals</t>
        </is>
      </c>
      <c r="D26" s="8" t="inlineStr">
        <is>
          <t>50%</t>
        </is>
      </c>
    </row>
    <row r="27">
      <c r="B27" s="5" t="inlineStr">
        <is>
          <t>Professional Services</t>
        </is>
      </c>
      <c r="C27" s="6" t="inlineStr">
        <is>
          <t>Accountant, lawyer, contractor</t>
        </is>
      </c>
      <c r="D27" s="6" t="inlineStr">
        <is>
          <t>100%</t>
        </is>
      </c>
    </row>
    <row r="28">
      <c r="B28" s="9" t="inlineStr">
        <is>
          <t>Marketing &amp; Advertising</t>
        </is>
      </c>
      <c r="C28" s="8" t="inlineStr">
        <is>
          <t>Website, ads, business cards</t>
        </is>
      </c>
      <c r="D28" s="8" t="inlineStr">
        <is>
          <t>100%</t>
        </is>
      </c>
    </row>
    <row r="29">
      <c r="B29" s="5" t="inlineStr">
        <is>
          <t>Insurance</t>
        </is>
      </c>
      <c r="C29" s="6" t="inlineStr">
        <is>
          <t>Business liability, health insurance</t>
        </is>
      </c>
      <c r="D29" s="6" t="inlineStr">
        <is>
          <t>100% / varies</t>
        </is>
      </c>
    </row>
    <row r="30">
      <c r="B30" s="9" t="inlineStr">
        <is>
          <t>Education &amp; Training</t>
        </is>
      </c>
      <c r="C30" s="8" t="inlineStr">
        <is>
          <t>Courses, books, workshops</t>
        </is>
      </c>
      <c r="D30" s="8" t="inlineStr">
        <is>
          <t>100%</t>
        </is>
      </c>
    </row>
    <row r="31">
      <c r="B31" s="5" t="inlineStr">
        <is>
          <t>Equipment &amp; Depreciation</t>
        </is>
      </c>
      <c r="C31" s="6" t="inlineStr">
        <is>
          <t>Computer, phone, furniture</t>
        </is>
      </c>
      <c r="D31" s="6" t="inlineStr">
        <is>
          <t>Section 179 / depreciation</t>
        </is>
      </c>
    </row>
    <row r="32">
      <c r="B32" s="9" t="inlineStr">
        <is>
          <t>Vehicle &amp; Transportation</t>
        </is>
      </c>
      <c r="C32" s="8" t="inlineStr">
        <is>
          <t>Mileage, parking, tolls</t>
        </is>
      </c>
      <c r="D32" s="8" t="inlineStr">
        <is>
          <t>67¢/mile 2024</t>
        </is>
      </c>
    </row>
    <row r="33">
      <c r="B33" s="5" t="inlineStr">
        <is>
          <t>Bank Fees &amp; Interest</t>
        </is>
      </c>
      <c r="C33" s="6" t="inlineStr">
        <is>
          <t>Business account fees, loan interest</t>
        </is>
      </c>
      <c r="D33" s="6" t="inlineStr">
        <is>
          <t>100%</t>
        </is>
      </c>
    </row>
    <row r="34">
      <c r="B34" s="9" t="inlineStr">
        <is>
          <t>Taxes &amp; Licenses</t>
        </is>
      </c>
      <c r="C34" s="8" t="inlineStr">
        <is>
          <t>Business licenses, professional fees</t>
        </is>
      </c>
      <c r="D34" s="8" t="inlineStr">
        <is>
          <t>100% (not income tax)</t>
        </is>
      </c>
    </row>
    <row r="35">
      <c r="B35" s="10" t="inlineStr">
        <is>
          <t>Step 5: Pay Quarterly Taxes</t>
        </is>
      </c>
    </row>
    <row r="36">
      <c r="B36" s="11" t="inlineStr">
        <is>
          <t>Dashboard shows estimated payments. Deadlines: Apr 15, Jun 15, Sep 15, Jan 15.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3:I5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  <col width="16" customWidth="1" min="8" max="8"/>
    <col width="20" customWidth="1" min="9" max="9"/>
    <col width="5" customWidth="1" min="10" max="10"/>
  </cols>
  <sheetData>
    <row r="3">
      <c r="A3" s="12" t="inlineStr">
        <is>
          <t>#</t>
        </is>
      </c>
      <c r="B3" s="12" t="inlineStr">
        <is>
          <t>Date</t>
        </is>
      </c>
      <c r="C3" s="12" t="inlineStr">
        <is>
          <t>Invoice #</t>
        </is>
      </c>
      <c r="D3" s="12" t="inlineStr">
        <is>
          <t>Client</t>
        </is>
      </c>
      <c r="E3" s="12" t="inlineStr">
        <is>
          <t>Project/Description</t>
        </is>
      </c>
      <c r="F3" s="12" t="inlineStr">
        <is>
          <t>Gross Amount</t>
        </is>
      </c>
      <c r="G3" s="12" t="inlineStr">
        <is>
          <t>Platform Fee</t>
        </is>
      </c>
      <c r="H3" s="12" t="inlineStr">
        <is>
          <t>Net Received</t>
        </is>
      </c>
      <c r="I3" s="12" t="inlineStr">
        <is>
          <t>Notes</t>
        </is>
      </c>
    </row>
    <row r="4">
      <c r="A4" s="6" t="n">
        <v>1</v>
      </c>
      <c r="B4" s="13" t="inlineStr">
        <is>
          <t>2026-01-15</t>
        </is>
      </c>
      <c r="C4" s="6" t="inlineStr">
        <is>
          <t>INV-001</t>
        </is>
      </c>
      <c r="D4" s="6" t="inlineStr">
        <is>
          <t>Acme Corp</t>
        </is>
      </c>
      <c r="E4" s="6" t="inlineStr">
        <is>
          <t>Website redesign</t>
        </is>
      </c>
      <c r="F4" s="14" t="n">
        <v>5000</v>
      </c>
      <c r="G4" s="14" t="n">
        <v>0</v>
      </c>
      <c r="H4" s="14">
        <f>F4-G4</f>
        <v/>
      </c>
      <c r="I4" s="6" t="inlineStr">
        <is>
          <t>Milestone 1 payment</t>
        </is>
      </c>
    </row>
    <row r="5">
      <c r="A5" s="8" t="n">
        <v>2</v>
      </c>
      <c r="B5" s="15" t="inlineStr">
        <is>
          <t>2026-01-28</t>
        </is>
      </c>
      <c r="C5" s="8" t="inlineStr">
        <is>
          <t>INV-002</t>
        </is>
      </c>
      <c r="D5" s="8" t="inlineStr">
        <is>
          <t>TechStart Inc</t>
        </is>
      </c>
      <c r="E5" s="8" t="inlineStr">
        <is>
          <t>Mobile app UI</t>
        </is>
      </c>
      <c r="F5" s="16" t="n">
        <v>3500</v>
      </c>
      <c r="G5" s="16" t="n">
        <v>175</v>
      </c>
      <c r="H5" s="16">
        <f>F5-G5</f>
        <v/>
      </c>
      <c r="I5" s="8" t="inlineStr">
        <is>
          <t>Upwork fee 5%</t>
        </is>
      </c>
    </row>
    <row r="6">
      <c r="A6" s="6" t="n">
        <v>3</v>
      </c>
      <c r="B6" s="13" t="inlineStr">
        <is>
          <t>2026-02-10</t>
        </is>
      </c>
      <c r="C6" s="6" t="inlineStr">
        <is>
          <t>INV-003</t>
        </is>
      </c>
      <c r="D6" s="6" t="inlineStr">
        <is>
          <t>Acme Corp</t>
        </is>
      </c>
      <c r="E6" s="6" t="inlineStr">
        <is>
          <t>Website redesign</t>
        </is>
      </c>
      <c r="F6" s="14" t="n">
        <v>5000</v>
      </c>
      <c r="G6" s="14" t="n">
        <v>0</v>
      </c>
      <c r="H6" s="14">
        <f>F6-G6</f>
        <v/>
      </c>
      <c r="I6" s="6" t="inlineStr">
        <is>
          <t>Final payment</t>
        </is>
      </c>
    </row>
    <row r="7">
      <c r="A7" s="8" t="n">
        <v>4</v>
      </c>
      <c r="B7" s="15" t="inlineStr">
        <is>
          <t>2026-02-20</t>
        </is>
      </c>
      <c r="C7" s="8" t="inlineStr">
        <is>
          <t>INV-004</t>
        </is>
      </c>
      <c r="D7" s="8" t="inlineStr">
        <is>
          <t>MediaCo</t>
        </is>
      </c>
      <c r="E7" s="8" t="inlineStr">
        <is>
          <t>Video editing package</t>
        </is>
      </c>
      <c r="F7" s="16" t="n">
        <v>2800</v>
      </c>
      <c r="G7" s="16" t="n">
        <v>140</v>
      </c>
      <c r="H7" s="16">
        <f>F7-G7</f>
        <v/>
      </c>
      <c r="I7" s="8" t="inlineStr">
        <is>
          <t>Fiverr fee</t>
        </is>
      </c>
    </row>
    <row r="8">
      <c r="A8" s="6" t="n">
        <v>5</v>
      </c>
      <c r="B8" s="13" t="inlineStr">
        <is>
          <t>2026-03-05</t>
        </is>
      </c>
      <c r="C8" s="6" t="inlineStr">
        <is>
          <t>INV-005</t>
        </is>
      </c>
      <c r="D8" s="6" t="inlineStr">
        <is>
          <t>LocalShop</t>
        </is>
      </c>
      <c r="E8" s="6" t="inlineStr">
        <is>
          <t>Logo + brand kit</t>
        </is>
      </c>
      <c r="F8" s="14" t="n">
        <v>1500</v>
      </c>
      <c r="G8" s="14" t="n">
        <v>0</v>
      </c>
      <c r="H8" s="14">
        <f>F8-G8</f>
        <v/>
      </c>
      <c r="I8" s="6" t="inlineStr">
        <is>
          <t>Direct client</t>
        </is>
      </c>
    </row>
    <row r="9">
      <c r="A9" s="17" t="n"/>
      <c r="B9" s="17" t="n"/>
      <c r="C9" s="17" t="n"/>
      <c r="D9" s="17" t="n"/>
      <c r="E9" s="18" t="inlineStr">
        <is>
          <t>TOTAL</t>
        </is>
      </c>
      <c r="F9" s="19">
        <f>SUM(F4:F8)</f>
        <v/>
      </c>
      <c r="G9" s="19">
        <f>SUM(G4:G8)</f>
        <v/>
      </c>
      <c r="H9" s="19">
        <f>SUM(H4:H8)</f>
        <v/>
      </c>
      <c r="I9" s="17" t="n"/>
    </row>
    <row r="10">
      <c r="A10" s="8">
        <f>IF(F10="","",ROW()-3)</f>
        <v/>
      </c>
      <c r="B10" s="15" t="n"/>
      <c r="C10" s="8" t="n"/>
      <c r="D10" s="8" t="n"/>
      <c r="E10" s="8" t="n"/>
      <c r="F10" s="16" t="n"/>
      <c r="G10" s="16">
        <f>IF(F10="","",0)</f>
        <v/>
      </c>
      <c r="H10" s="16">
        <f>IF(F10="","",F10-G10)</f>
        <v/>
      </c>
      <c r="I10" s="8" t="n"/>
    </row>
    <row r="11">
      <c r="A11" s="8">
        <f>IF(F11="","",ROW()-3)</f>
        <v/>
      </c>
      <c r="B11" s="15" t="n"/>
      <c r="C11" s="8" t="n"/>
      <c r="D11" s="8" t="n"/>
      <c r="E11" s="8" t="n"/>
      <c r="F11" s="16" t="n"/>
      <c r="G11" s="16">
        <f>IF(F11="","",0)</f>
        <v/>
      </c>
      <c r="H11" s="16">
        <f>IF(F11="","",F11-G11)</f>
        <v/>
      </c>
      <c r="I11" s="8" t="n"/>
    </row>
    <row r="12">
      <c r="A12" s="8">
        <f>IF(F12="","",ROW()-3)</f>
        <v/>
      </c>
      <c r="B12" s="15" t="n"/>
      <c r="C12" s="8" t="n"/>
      <c r="D12" s="8" t="n"/>
      <c r="E12" s="8" t="n"/>
      <c r="F12" s="16" t="n"/>
      <c r="G12" s="16">
        <f>IF(F12="","",0)</f>
        <v/>
      </c>
      <c r="H12" s="16">
        <f>IF(F12="","",F12-G12)</f>
        <v/>
      </c>
      <c r="I12" s="8" t="n"/>
    </row>
    <row r="13">
      <c r="A13" s="8">
        <f>IF(F13="","",ROW()-3)</f>
        <v/>
      </c>
      <c r="B13" s="15" t="n"/>
      <c r="C13" s="8" t="n"/>
      <c r="D13" s="8" t="n"/>
      <c r="E13" s="8" t="n"/>
      <c r="F13" s="16" t="n"/>
      <c r="G13" s="16">
        <f>IF(F13="","",0)</f>
        <v/>
      </c>
      <c r="H13" s="16">
        <f>IF(F13="","",F13-G13)</f>
        <v/>
      </c>
      <c r="I13" s="8" t="n"/>
    </row>
    <row r="14">
      <c r="A14" s="8">
        <f>IF(F14="","",ROW()-3)</f>
        <v/>
      </c>
      <c r="B14" s="15" t="n"/>
      <c r="C14" s="8" t="n"/>
      <c r="D14" s="8" t="n"/>
      <c r="E14" s="8" t="n"/>
      <c r="F14" s="16" t="n"/>
      <c r="G14" s="16">
        <f>IF(F14="","",0)</f>
        <v/>
      </c>
      <c r="H14" s="16">
        <f>IF(F14="","",F14-G14)</f>
        <v/>
      </c>
      <c r="I14" s="8" t="n"/>
    </row>
    <row r="15">
      <c r="A15" s="8">
        <f>IF(F15="","",ROW()-3)</f>
        <v/>
      </c>
      <c r="B15" s="15" t="n"/>
      <c r="C15" s="8" t="n"/>
      <c r="D15" s="8" t="n"/>
      <c r="E15" s="8" t="n"/>
      <c r="F15" s="16" t="n"/>
      <c r="G15" s="16">
        <f>IF(F15="","",0)</f>
        <v/>
      </c>
      <c r="H15" s="16">
        <f>IF(F15="","",F15-G15)</f>
        <v/>
      </c>
      <c r="I15" s="8" t="n"/>
    </row>
    <row r="16">
      <c r="A16" s="8">
        <f>IF(F16="","",ROW()-3)</f>
        <v/>
      </c>
      <c r="B16" s="15" t="n"/>
      <c r="C16" s="8" t="n"/>
      <c r="D16" s="8" t="n"/>
      <c r="E16" s="8" t="n"/>
      <c r="F16" s="16" t="n"/>
      <c r="G16" s="16">
        <f>IF(F16="","",0)</f>
        <v/>
      </c>
      <c r="H16" s="16">
        <f>IF(F16="","",F16-G16)</f>
        <v/>
      </c>
      <c r="I16" s="8" t="n"/>
    </row>
    <row r="17">
      <c r="A17" s="8">
        <f>IF(F17="","",ROW()-3)</f>
        <v/>
      </c>
      <c r="B17" s="15" t="n"/>
      <c r="C17" s="8" t="n"/>
      <c r="D17" s="8" t="n"/>
      <c r="E17" s="8" t="n"/>
      <c r="F17" s="16" t="n"/>
      <c r="G17" s="16">
        <f>IF(F17="","",0)</f>
        <v/>
      </c>
      <c r="H17" s="16">
        <f>IF(F17="","",F17-G17)</f>
        <v/>
      </c>
      <c r="I17" s="8" t="n"/>
    </row>
    <row r="18">
      <c r="A18" s="8">
        <f>IF(F18="","",ROW()-3)</f>
        <v/>
      </c>
      <c r="B18" s="15" t="n"/>
      <c r="C18" s="8" t="n"/>
      <c r="D18" s="8" t="n"/>
      <c r="E18" s="8" t="n"/>
      <c r="F18" s="16" t="n"/>
      <c r="G18" s="16">
        <f>IF(F18="","",0)</f>
        <v/>
      </c>
      <c r="H18" s="16">
        <f>IF(F18="","",F18-G18)</f>
        <v/>
      </c>
      <c r="I18" s="8" t="n"/>
    </row>
    <row r="19">
      <c r="A19" s="8">
        <f>IF(F19="","",ROW()-3)</f>
        <v/>
      </c>
      <c r="B19" s="15" t="n"/>
      <c r="C19" s="8" t="n"/>
      <c r="D19" s="8" t="n"/>
      <c r="E19" s="8" t="n"/>
      <c r="F19" s="16" t="n"/>
      <c r="G19" s="16">
        <f>IF(F19="","",0)</f>
        <v/>
      </c>
      <c r="H19" s="16">
        <f>IF(F19="","",F19-G19)</f>
        <v/>
      </c>
      <c r="I19" s="8" t="n"/>
    </row>
    <row r="20">
      <c r="A20" s="8">
        <f>IF(F20="","",ROW()-3)</f>
        <v/>
      </c>
      <c r="B20" s="15" t="n"/>
      <c r="C20" s="8" t="n"/>
      <c r="D20" s="8" t="n"/>
      <c r="E20" s="8" t="n"/>
      <c r="F20" s="16" t="n"/>
      <c r="G20" s="16">
        <f>IF(F20="","",0)</f>
        <v/>
      </c>
      <c r="H20" s="16">
        <f>IF(F20="","",F20-G20)</f>
        <v/>
      </c>
      <c r="I20" s="8" t="n"/>
    </row>
    <row r="21">
      <c r="A21" s="8">
        <f>IF(F21="","",ROW()-3)</f>
        <v/>
      </c>
      <c r="B21" s="15" t="n"/>
      <c r="C21" s="8" t="n"/>
      <c r="D21" s="8" t="n"/>
      <c r="E21" s="8" t="n"/>
      <c r="F21" s="16" t="n"/>
      <c r="G21" s="16">
        <f>IF(F21="","",0)</f>
        <v/>
      </c>
      <c r="H21" s="16">
        <f>IF(F21="","",F21-G21)</f>
        <v/>
      </c>
      <c r="I21" s="8" t="n"/>
    </row>
    <row r="22">
      <c r="A22" s="8">
        <f>IF(F22="","",ROW()-3)</f>
        <v/>
      </c>
      <c r="B22" s="15" t="n"/>
      <c r="C22" s="8" t="n"/>
      <c r="D22" s="8" t="n"/>
      <c r="E22" s="8" t="n"/>
      <c r="F22" s="16" t="n"/>
      <c r="G22" s="16">
        <f>IF(F22="","",0)</f>
        <v/>
      </c>
      <c r="H22" s="16">
        <f>IF(F22="","",F22-G22)</f>
        <v/>
      </c>
      <c r="I22" s="8" t="n"/>
    </row>
    <row r="23">
      <c r="A23" s="8">
        <f>IF(F23="","",ROW()-3)</f>
        <v/>
      </c>
      <c r="B23" s="15" t="n"/>
      <c r="C23" s="8" t="n"/>
      <c r="D23" s="8" t="n"/>
      <c r="E23" s="8" t="n"/>
      <c r="F23" s="16" t="n"/>
      <c r="G23" s="16">
        <f>IF(F23="","",0)</f>
        <v/>
      </c>
      <c r="H23" s="16">
        <f>IF(F23="","",F23-G23)</f>
        <v/>
      </c>
      <c r="I23" s="8" t="n"/>
    </row>
    <row r="24">
      <c r="A24" s="8">
        <f>IF(F24="","",ROW()-3)</f>
        <v/>
      </c>
      <c r="B24" s="15" t="n"/>
      <c r="C24" s="8" t="n"/>
      <c r="D24" s="8" t="n"/>
      <c r="E24" s="8" t="n"/>
      <c r="F24" s="16" t="n"/>
      <c r="G24" s="16">
        <f>IF(F24="","",0)</f>
        <v/>
      </c>
      <c r="H24" s="16">
        <f>IF(F24="","",F24-G24)</f>
        <v/>
      </c>
      <c r="I24" s="8" t="n"/>
    </row>
    <row r="25">
      <c r="A25" s="8">
        <f>IF(F25="","",ROW()-3)</f>
        <v/>
      </c>
      <c r="B25" s="15" t="n"/>
      <c r="C25" s="8" t="n"/>
      <c r="D25" s="8" t="n"/>
      <c r="E25" s="8" t="n"/>
      <c r="F25" s="16" t="n"/>
      <c r="G25" s="16">
        <f>IF(F25="","",0)</f>
        <v/>
      </c>
      <c r="H25" s="16">
        <f>IF(F25="","",F25-G25)</f>
        <v/>
      </c>
      <c r="I25" s="8" t="n"/>
    </row>
    <row r="26">
      <c r="A26" s="8">
        <f>IF(F26="","",ROW()-3)</f>
        <v/>
      </c>
      <c r="B26" s="15" t="n"/>
      <c r="C26" s="8" t="n"/>
      <c r="D26" s="8" t="n"/>
      <c r="E26" s="8" t="n"/>
      <c r="F26" s="16" t="n"/>
      <c r="G26" s="16">
        <f>IF(F26="","",0)</f>
        <v/>
      </c>
      <c r="H26" s="16">
        <f>IF(F26="","",F26-G26)</f>
        <v/>
      </c>
      <c r="I26" s="8" t="n"/>
    </row>
    <row r="27">
      <c r="A27" s="8">
        <f>IF(F27="","",ROW()-3)</f>
        <v/>
      </c>
      <c r="B27" s="15" t="n"/>
      <c r="C27" s="8" t="n"/>
      <c r="D27" s="8" t="n"/>
      <c r="E27" s="8" t="n"/>
      <c r="F27" s="16" t="n"/>
      <c r="G27" s="16">
        <f>IF(F27="","",0)</f>
        <v/>
      </c>
      <c r="H27" s="16">
        <f>IF(F27="","",F27-G27)</f>
        <v/>
      </c>
      <c r="I27" s="8" t="n"/>
    </row>
    <row r="28">
      <c r="A28" s="8">
        <f>IF(F28="","",ROW()-3)</f>
        <v/>
      </c>
      <c r="B28" s="15" t="n"/>
      <c r="C28" s="8" t="n"/>
      <c r="D28" s="8" t="n"/>
      <c r="E28" s="8" t="n"/>
      <c r="F28" s="16" t="n"/>
      <c r="G28" s="16">
        <f>IF(F28="","",0)</f>
        <v/>
      </c>
      <c r="H28" s="16">
        <f>IF(F28="","",F28-G28)</f>
        <v/>
      </c>
      <c r="I28" s="8" t="n"/>
    </row>
    <row r="29">
      <c r="A29" s="8">
        <f>IF(F29="","",ROW()-3)</f>
        <v/>
      </c>
      <c r="B29" s="15" t="n"/>
      <c r="C29" s="8" t="n"/>
      <c r="D29" s="8" t="n"/>
      <c r="E29" s="8" t="n"/>
      <c r="F29" s="16" t="n"/>
      <c r="G29" s="16">
        <f>IF(F29="","",0)</f>
        <v/>
      </c>
      <c r="H29" s="16">
        <f>IF(F29="","",F29-G29)</f>
        <v/>
      </c>
      <c r="I29" s="8" t="n"/>
    </row>
    <row r="30">
      <c r="A30" s="8">
        <f>IF(F30="","",ROW()-3)</f>
        <v/>
      </c>
      <c r="B30" s="15" t="n"/>
      <c r="C30" s="8" t="n"/>
      <c r="D30" s="8" t="n"/>
      <c r="E30" s="8" t="n"/>
      <c r="F30" s="16" t="n"/>
      <c r="G30" s="16">
        <f>IF(F30="","",0)</f>
        <v/>
      </c>
      <c r="H30" s="16">
        <f>IF(F30="","",F30-G30)</f>
        <v/>
      </c>
      <c r="I30" s="8" t="n"/>
    </row>
    <row r="31">
      <c r="A31" s="8">
        <f>IF(F31="","",ROW()-3)</f>
        <v/>
      </c>
      <c r="B31" s="15" t="n"/>
      <c r="C31" s="8" t="n"/>
      <c r="D31" s="8" t="n"/>
      <c r="E31" s="8" t="n"/>
      <c r="F31" s="16" t="n"/>
      <c r="G31" s="16">
        <f>IF(F31="","",0)</f>
        <v/>
      </c>
      <c r="H31" s="16">
        <f>IF(F31="","",F31-G31)</f>
        <v/>
      </c>
      <c r="I31" s="8" t="n"/>
    </row>
    <row r="32">
      <c r="A32" s="8">
        <f>IF(F32="","",ROW()-3)</f>
        <v/>
      </c>
      <c r="B32" s="15" t="n"/>
      <c r="C32" s="8" t="n"/>
      <c r="D32" s="8" t="n"/>
      <c r="E32" s="8" t="n"/>
      <c r="F32" s="16" t="n"/>
      <c r="G32" s="16">
        <f>IF(F32="","",0)</f>
        <v/>
      </c>
      <c r="H32" s="16">
        <f>IF(F32="","",F32-G32)</f>
        <v/>
      </c>
      <c r="I32" s="8" t="n"/>
    </row>
    <row r="33">
      <c r="A33" s="8">
        <f>IF(F33="","",ROW()-3)</f>
        <v/>
      </c>
      <c r="B33" s="15" t="n"/>
      <c r="C33" s="8" t="n"/>
      <c r="D33" s="8" t="n"/>
      <c r="E33" s="8" t="n"/>
      <c r="F33" s="16" t="n"/>
      <c r="G33" s="16">
        <f>IF(F33="","",0)</f>
        <v/>
      </c>
      <c r="H33" s="16">
        <f>IF(F33="","",F33-G33)</f>
        <v/>
      </c>
      <c r="I33" s="8" t="n"/>
    </row>
    <row r="34">
      <c r="A34" s="8">
        <f>IF(F34="","",ROW()-3)</f>
        <v/>
      </c>
      <c r="B34" s="15" t="n"/>
      <c r="C34" s="8" t="n"/>
      <c r="D34" s="8" t="n"/>
      <c r="E34" s="8" t="n"/>
      <c r="F34" s="16" t="n"/>
      <c r="G34" s="16">
        <f>IF(F34="","",0)</f>
        <v/>
      </c>
      <c r="H34" s="16">
        <f>IF(F34="","",F34-G34)</f>
        <v/>
      </c>
      <c r="I34" s="8" t="n"/>
    </row>
    <row r="35">
      <c r="A35" s="8">
        <f>IF(F35="","",ROW()-3)</f>
        <v/>
      </c>
      <c r="B35" s="15" t="n"/>
      <c r="C35" s="8" t="n"/>
      <c r="D35" s="8" t="n"/>
      <c r="E35" s="8" t="n"/>
      <c r="F35" s="16" t="n"/>
      <c r="G35" s="16">
        <f>IF(F35="","",0)</f>
        <v/>
      </c>
      <c r="H35" s="16">
        <f>IF(F35="","",F35-G35)</f>
        <v/>
      </c>
      <c r="I35" s="8" t="n"/>
    </row>
    <row r="36">
      <c r="A36" s="8">
        <f>IF(F36="","",ROW()-3)</f>
        <v/>
      </c>
      <c r="B36" s="15" t="n"/>
      <c r="C36" s="8" t="n"/>
      <c r="D36" s="8" t="n"/>
      <c r="E36" s="8" t="n"/>
      <c r="F36" s="16" t="n"/>
      <c r="G36" s="16">
        <f>IF(F36="","",0)</f>
        <v/>
      </c>
      <c r="H36" s="16">
        <f>IF(F36="","",F36-G36)</f>
        <v/>
      </c>
      <c r="I36" s="8" t="n"/>
    </row>
    <row r="37">
      <c r="A37" s="8">
        <f>IF(F37="","",ROW()-3)</f>
        <v/>
      </c>
      <c r="B37" s="15" t="n"/>
      <c r="C37" s="8" t="n"/>
      <c r="D37" s="8" t="n"/>
      <c r="E37" s="8" t="n"/>
      <c r="F37" s="16" t="n"/>
      <c r="G37" s="16">
        <f>IF(F37="","",0)</f>
        <v/>
      </c>
      <c r="H37" s="16">
        <f>IF(F37="","",F37-G37)</f>
        <v/>
      </c>
      <c r="I37" s="8" t="n"/>
    </row>
    <row r="38">
      <c r="A38" s="8">
        <f>IF(F38="","",ROW()-3)</f>
        <v/>
      </c>
      <c r="B38" s="15" t="n"/>
      <c r="C38" s="8" t="n"/>
      <c r="D38" s="8" t="n"/>
      <c r="E38" s="8" t="n"/>
      <c r="F38" s="16" t="n"/>
      <c r="G38" s="16">
        <f>IF(F38="","",0)</f>
        <v/>
      </c>
      <c r="H38" s="16">
        <f>IF(F38="","",F38-G38)</f>
        <v/>
      </c>
      <c r="I38" s="8" t="n"/>
    </row>
    <row r="39">
      <c r="A39" s="8">
        <f>IF(F39="","",ROW()-3)</f>
        <v/>
      </c>
      <c r="B39" s="15" t="n"/>
      <c r="C39" s="8" t="n"/>
      <c r="D39" s="8" t="n"/>
      <c r="E39" s="8" t="n"/>
      <c r="F39" s="16" t="n"/>
      <c r="G39" s="16">
        <f>IF(F39="","",0)</f>
        <v/>
      </c>
      <c r="H39" s="16">
        <f>IF(F39="","",F39-G39)</f>
        <v/>
      </c>
      <c r="I39" s="8" t="n"/>
    </row>
    <row r="40">
      <c r="A40" s="8">
        <f>IF(F40="","",ROW()-3)</f>
        <v/>
      </c>
      <c r="B40" s="15" t="n"/>
      <c r="C40" s="8" t="n"/>
      <c r="D40" s="8" t="n"/>
      <c r="E40" s="8" t="n"/>
      <c r="F40" s="16" t="n"/>
      <c r="G40" s="16">
        <f>IF(F40="","",0)</f>
        <v/>
      </c>
      <c r="H40" s="16">
        <f>IF(F40="","",F40-G40)</f>
        <v/>
      </c>
      <c r="I40" s="8" t="n"/>
    </row>
    <row r="41">
      <c r="A41" s="8">
        <f>IF(F41="","",ROW()-3)</f>
        <v/>
      </c>
      <c r="B41" s="15" t="n"/>
      <c r="C41" s="8" t="n"/>
      <c r="D41" s="8" t="n"/>
      <c r="E41" s="8" t="n"/>
      <c r="F41" s="16" t="n"/>
      <c r="G41" s="16">
        <f>IF(F41="","",0)</f>
        <v/>
      </c>
      <c r="H41" s="16">
        <f>IF(F41="","",F41-G41)</f>
        <v/>
      </c>
      <c r="I41" s="8" t="n"/>
    </row>
    <row r="42">
      <c r="A42" s="8">
        <f>IF(F42="","",ROW()-3)</f>
        <v/>
      </c>
      <c r="B42" s="15" t="n"/>
      <c r="C42" s="8" t="n"/>
      <c r="D42" s="8" t="n"/>
      <c r="E42" s="8" t="n"/>
      <c r="F42" s="16" t="n"/>
      <c r="G42" s="16">
        <f>IF(F42="","",0)</f>
        <v/>
      </c>
      <c r="H42" s="16">
        <f>IF(F42="","",F42-G42)</f>
        <v/>
      </c>
      <c r="I42" s="8" t="n"/>
    </row>
    <row r="43">
      <c r="A43" s="8">
        <f>IF(F43="","",ROW()-3)</f>
        <v/>
      </c>
      <c r="B43" s="15" t="n"/>
      <c r="C43" s="8" t="n"/>
      <c r="D43" s="8" t="n"/>
      <c r="E43" s="8" t="n"/>
      <c r="F43" s="16" t="n"/>
      <c r="G43" s="16">
        <f>IF(F43="","",0)</f>
        <v/>
      </c>
      <c r="H43" s="16">
        <f>IF(F43="","",F43-G43)</f>
        <v/>
      </c>
      <c r="I43" s="8" t="n"/>
    </row>
    <row r="44">
      <c r="A44" s="8">
        <f>IF(F44="","",ROW()-3)</f>
        <v/>
      </c>
      <c r="B44" s="15" t="n"/>
      <c r="C44" s="8" t="n"/>
      <c r="D44" s="8" t="n"/>
      <c r="E44" s="8" t="n"/>
      <c r="F44" s="16" t="n"/>
      <c r="G44" s="16">
        <f>IF(F44="","",0)</f>
        <v/>
      </c>
      <c r="H44" s="16">
        <f>IF(F44="","",F44-G44)</f>
        <v/>
      </c>
      <c r="I44" s="8" t="n"/>
    </row>
    <row r="45">
      <c r="A45" s="8">
        <f>IF(F45="","",ROW()-3)</f>
        <v/>
      </c>
      <c r="B45" s="15" t="n"/>
      <c r="C45" s="8" t="n"/>
      <c r="D45" s="8" t="n"/>
      <c r="E45" s="8" t="n"/>
      <c r="F45" s="16" t="n"/>
      <c r="G45" s="16">
        <f>IF(F45="","",0)</f>
        <v/>
      </c>
      <c r="H45" s="16">
        <f>IF(F45="","",F45-G45)</f>
        <v/>
      </c>
      <c r="I45" s="8" t="n"/>
    </row>
    <row r="46">
      <c r="A46" s="8">
        <f>IF(F46="","",ROW()-3)</f>
        <v/>
      </c>
      <c r="B46" s="15" t="n"/>
      <c r="C46" s="8" t="n"/>
      <c r="D46" s="8" t="n"/>
      <c r="E46" s="8" t="n"/>
      <c r="F46" s="16" t="n"/>
      <c r="G46" s="16">
        <f>IF(F46="","",0)</f>
        <v/>
      </c>
      <c r="H46" s="16">
        <f>IF(F46="","",F46-G46)</f>
        <v/>
      </c>
      <c r="I46" s="8" t="n"/>
    </row>
    <row r="47">
      <c r="A47" s="8">
        <f>IF(F47="","",ROW()-3)</f>
        <v/>
      </c>
      <c r="B47" s="15" t="n"/>
      <c r="C47" s="8" t="n"/>
      <c r="D47" s="8" t="n"/>
      <c r="E47" s="8" t="n"/>
      <c r="F47" s="16" t="n"/>
      <c r="G47" s="16">
        <f>IF(F47="","",0)</f>
        <v/>
      </c>
      <c r="H47" s="16">
        <f>IF(F47="","",F47-G47)</f>
        <v/>
      </c>
      <c r="I47" s="8" t="n"/>
    </row>
    <row r="48">
      <c r="A48" s="8">
        <f>IF(F48="","",ROW()-3)</f>
        <v/>
      </c>
      <c r="B48" s="15" t="n"/>
      <c r="C48" s="8" t="n"/>
      <c r="D48" s="8" t="n"/>
      <c r="E48" s="8" t="n"/>
      <c r="F48" s="16" t="n"/>
      <c r="G48" s="16">
        <f>IF(F48="","",0)</f>
        <v/>
      </c>
      <c r="H48" s="16">
        <f>IF(F48="","",F48-G48)</f>
        <v/>
      </c>
      <c r="I48" s="8" t="n"/>
    </row>
    <row r="49">
      <c r="A49" s="8">
        <f>IF(F49="","",ROW()-3)</f>
        <v/>
      </c>
      <c r="B49" s="15" t="n"/>
      <c r="C49" s="8" t="n"/>
      <c r="D49" s="8" t="n"/>
      <c r="E49" s="8" t="n"/>
      <c r="F49" s="16" t="n"/>
      <c r="G49" s="16">
        <f>IF(F49="","",0)</f>
        <v/>
      </c>
      <c r="H49" s="16">
        <f>IF(F49="","",F49-G49)</f>
        <v/>
      </c>
      <c r="I49" s="8" t="n"/>
    </row>
    <row r="50">
      <c r="A50" s="8">
        <f>IF(F50="","",ROW()-3)</f>
        <v/>
      </c>
      <c r="B50" s="15" t="n"/>
      <c r="C50" s="8" t="n"/>
      <c r="D50" s="8" t="n"/>
      <c r="E50" s="8" t="n"/>
      <c r="F50" s="16" t="n"/>
      <c r="G50" s="16">
        <f>IF(F50="","",0)</f>
        <v/>
      </c>
      <c r="H50" s="16">
        <f>IF(F50="","",F50-G50)</f>
        <v/>
      </c>
      <c r="I50" s="8" t="n"/>
    </row>
    <row r="51">
      <c r="A51" s="8">
        <f>IF(F51="","",ROW()-3)</f>
        <v/>
      </c>
      <c r="B51" s="15" t="n"/>
      <c r="C51" s="8" t="n"/>
      <c r="D51" s="8" t="n"/>
      <c r="E51" s="8" t="n"/>
      <c r="F51" s="16" t="n"/>
      <c r="G51" s="16">
        <f>IF(F51="","",0)</f>
        <v/>
      </c>
      <c r="H51" s="16">
        <f>IF(F51="","",F51-G51)</f>
        <v/>
      </c>
      <c r="I51" s="8" t="n"/>
    </row>
    <row r="52">
      <c r="A52" s="8">
        <f>IF(F52="","",ROW()-3)</f>
        <v/>
      </c>
      <c r="B52" s="15" t="n"/>
      <c r="C52" s="8" t="n"/>
      <c r="D52" s="8" t="n"/>
      <c r="E52" s="8" t="n"/>
      <c r="F52" s="16" t="n"/>
      <c r="G52" s="16">
        <f>IF(F52="","",0)</f>
        <v/>
      </c>
      <c r="H52" s="16">
        <f>IF(F52="","",F52-G52)</f>
        <v/>
      </c>
      <c r="I52" s="8" t="n"/>
    </row>
    <row r="53">
      <c r="A53" s="8">
        <f>IF(F53="","",ROW()-3)</f>
        <v/>
      </c>
      <c r="B53" s="15" t="n"/>
      <c r="C53" s="8" t="n"/>
      <c r="D53" s="8" t="n"/>
      <c r="E53" s="8" t="n"/>
      <c r="F53" s="16" t="n"/>
      <c r="G53" s="16">
        <f>IF(F53="","",0)</f>
        <v/>
      </c>
      <c r="H53" s="16">
        <f>IF(F53="","",F53-G53)</f>
        <v/>
      </c>
      <c r="I5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3:J10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28" customWidth="1" min="5" max="5"/>
    <col width="14" customWidth="1" min="6" max="6"/>
    <col width="16" customWidth="1" min="7" max="7"/>
    <col width="16" customWidth="1" min="8" max="8"/>
    <col width="12" customWidth="1" min="9" max="9"/>
    <col width="20" customWidth="1" min="10" max="10"/>
    <col width="5" customWidth="1" min="11" max="11"/>
  </cols>
  <sheetData>
    <row r="3">
      <c r="A3" s="12" t="inlineStr">
        <is>
          <t>#</t>
        </is>
      </c>
      <c r="B3" s="12" t="inlineStr">
        <is>
          <t>Date</t>
        </is>
      </c>
      <c r="C3" s="12" t="inlineStr">
        <is>
          <t>Vendor</t>
        </is>
      </c>
      <c r="D3" s="12" t="inlineStr">
        <is>
          <t>Category</t>
        </is>
      </c>
      <c r="E3" s="12" t="inlineStr">
        <is>
          <t>Description</t>
        </is>
      </c>
      <c r="F3" s="12" t="inlineStr">
        <is>
          <t>Amount</t>
        </is>
      </c>
      <c r="G3" s="12" t="inlineStr">
        <is>
          <t>Tax Deductible</t>
        </is>
      </c>
      <c r="H3" s="12" t="inlineStr">
        <is>
          <t>Deductible Amt</t>
        </is>
      </c>
      <c r="I3" s="12" t="inlineStr">
        <is>
          <t>Receipt?</t>
        </is>
      </c>
      <c r="J3" s="12" t="inlineStr">
        <is>
          <t>Notes</t>
        </is>
      </c>
    </row>
    <row r="4">
      <c r="A4" s="6" t="n">
        <v>1</v>
      </c>
      <c r="B4" s="13" t="inlineStr">
        <is>
          <t>2026-01-05</t>
        </is>
      </c>
      <c r="C4" s="6" t="inlineStr">
        <is>
          <t>Adobe</t>
        </is>
      </c>
      <c r="D4" s="6" t="inlineStr">
        <is>
          <t>Office Supplies</t>
        </is>
      </c>
      <c r="E4" s="6" t="inlineStr">
        <is>
          <t>Creative Cloud subscription</t>
        </is>
      </c>
      <c r="F4" s="14" t="n">
        <v>54.99</v>
      </c>
      <c r="G4" s="6" t="inlineStr">
        <is>
          <t>Yes</t>
        </is>
      </c>
      <c r="H4" s="14">
        <f>IF(G4="Yes",F4,IF(G4="Partial",F4*0.5,0))</f>
        <v/>
      </c>
      <c r="I4" s="6" t="inlineStr">
        <is>
          <t>Y</t>
        </is>
      </c>
      <c r="J4" s="6" t="inlineStr">
        <is>
          <t>Monthly</t>
        </is>
      </c>
    </row>
    <row r="5">
      <c r="A5" s="8" t="n">
        <v>2</v>
      </c>
      <c r="B5" s="15" t="inlineStr">
        <is>
          <t>2026-01-10</t>
        </is>
      </c>
      <c r="C5" s="8" t="inlineStr">
        <is>
          <t>WeWork</t>
        </is>
      </c>
      <c r="D5" s="8" t="inlineStr">
        <is>
          <t>Home Office</t>
        </is>
      </c>
      <c r="E5" s="8" t="inlineStr">
        <is>
          <t>Co-working space Jan</t>
        </is>
      </c>
      <c r="F5" s="16" t="n">
        <v>300</v>
      </c>
      <c r="G5" s="8" t="inlineStr">
        <is>
          <t>Yes</t>
        </is>
      </c>
      <c r="H5" s="16">
        <f>IF(G5="Yes",F5,IF(G5="Partial",F5*0.5,0))</f>
        <v/>
      </c>
      <c r="I5" s="8" t="inlineStr">
        <is>
          <t>Y</t>
        </is>
      </c>
      <c r="J5" s="8" t="inlineStr">
        <is>
          <t>50% business use</t>
        </is>
      </c>
    </row>
    <row r="6">
      <c r="A6" s="6" t="n">
        <v>3</v>
      </c>
      <c r="B6" s="13" t="inlineStr">
        <is>
          <t>2026-01-15</t>
        </is>
      </c>
      <c r="C6" s="6" t="inlineStr">
        <is>
          <t>Apple</t>
        </is>
      </c>
      <c r="D6" s="6" t="inlineStr">
        <is>
          <t>Equipment &amp; Depreciation</t>
        </is>
      </c>
      <c r="E6" s="6" t="inlineStr">
        <is>
          <t>MacBook Pro</t>
        </is>
      </c>
      <c r="F6" s="14" t="n">
        <v>2499</v>
      </c>
      <c r="G6" s="6" t="inlineStr">
        <is>
          <t>Yes</t>
        </is>
      </c>
      <c r="H6" s="14">
        <f>IF(G6="Yes",F6,IF(G6="Partial",F6*0.5,0))</f>
        <v/>
      </c>
      <c r="I6" s="6" t="inlineStr">
        <is>
          <t>Y</t>
        </is>
      </c>
      <c r="J6" s="6" t="inlineStr">
        <is>
          <t>Section 179</t>
        </is>
      </c>
    </row>
    <row r="7">
      <c r="A7" s="8" t="n">
        <v>4</v>
      </c>
      <c r="B7" s="15" t="inlineStr">
        <is>
          <t>2026-01-20</t>
        </is>
      </c>
      <c r="C7" s="8" t="inlineStr">
        <is>
          <t>Client Lunch</t>
        </is>
      </c>
      <c r="D7" s="8" t="inlineStr">
        <is>
          <t>Meals &amp; Entertainment</t>
        </is>
      </c>
      <c r="E7" s="8" t="inlineStr">
        <is>
          <t>Meeting with Acme Corp</t>
        </is>
      </c>
      <c r="F7" s="16" t="n">
        <v>85</v>
      </c>
      <c r="G7" s="8" t="inlineStr">
        <is>
          <t>Partial</t>
        </is>
      </c>
      <c r="H7" s="16">
        <f>IF(G7="Yes",F7,IF(G7="Partial",F7*0.5,0))</f>
        <v/>
      </c>
      <c r="I7" s="8" t="inlineStr">
        <is>
          <t>Y</t>
        </is>
      </c>
      <c r="J7" s="8" t="inlineStr">
        <is>
          <t>50% deductible</t>
        </is>
      </c>
    </row>
    <row r="8">
      <c r="A8" s="6" t="n">
        <v>5</v>
      </c>
      <c r="B8" s="13" t="inlineStr">
        <is>
          <t>2026-02-01</t>
        </is>
      </c>
      <c r="C8" s="6" t="inlineStr">
        <is>
          <t>Google Ads</t>
        </is>
      </c>
      <c r="D8" s="6" t="inlineStr">
        <is>
          <t>Marketing &amp; Advertising</t>
        </is>
      </c>
      <c r="E8" s="6" t="inlineStr">
        <is>
          <t>Google Ads Feb</t>
        </is>
      </c>
      <c r="F8" s="14" t="n">
        <v>200</v>
      </c>
      <c r="G8" s="6" t="inlineStr">
        <is>
          <t>Yes</t>
        </is>
      </c>
      <c r="H8" s="14">
        <f>IF(G8="Yes",F8,IF(G8="Partial",F8*0.5,0))</f>
        <v/>
      </c>
      <c r="I8" s="6" t="inlineStr">
        <is>
          <t>Y</t>
        </is>
      </c>
      <c r="J8" s="6" t="inlineStr"/>
    </row>
    <row r="9">
      <c r="A9" s="8" t="n">
        <v>6</v>
      </c>
      <c r="B9" s="15" t="inlineStr">
        <is>
          <t>2026-02-05</t>
        </is>
      </c>
      <c r="C9" s="8" t="inlineStr">
        <is>
          <t>Adobe</t>
        </is>
      </c>
      <c r="D9" s="8" t="inlineStr">
        <is>
          <t>Office Supplies</t>
        </is>
      </c>
      <c r="E9" s="8" t="inlineStr">
        <is>
          <t>Creative Cloud subscription</t>
        </is>
      </c>
      <c r="F9" s="16" t="n">
        <v>54.99</v>
      </c>
      <c r="G9" s="8" t="inlineStr">
        <is>
          <t>Yes</t>
        </is>
      </c>
      <c r="H9" s="16">
        <f>IF(G9="Yes",F9,IF(G9="Partial",F9*0.5,0))</f>
        <v/>
      </c>
      <c r="I9" s="8" t="inlineStr">
        <is>
          <t>Y</t>
        </is>
      </c>
      <c r="J9" s="8" t="inlineStr">
        <is>
          <t>Monthly</t>
        </is>
      </c>
    </row>
    <row r="10">
      <c r="A10" s="6" t="n">
        <v>7</v>
      </c>
      <c r="B10" s="13" t="inlineStr">
        <is>
          <t>2026-02-10</t>
        </is>
      </c>
      <c r="C10" s="6" t="inlineStr">
        <is>
          <t>IRS Direct Pay</t>
        </is>
      </c>
      <c r="D10" s="6" t="inlineStr">
        <is>
          <t>Taxes &amp; Licenses</t>
        </is>
      </c>
      <c r="E10" s="6" t="inlineStr">
        <is>
          <t>Q4 2025 estimated tax</t>
        </is>
      </c>
      <c r="F10" s="14" t="n">
        <v>1500</v>
      </c>
      <c r="G10" s="6" t="inlineStr">
        <is>
          <t>No</t>
        </is>
      </c>
      <c r="H10" s="14">
        <f>IF(G10="Yes",F10,IF(G10="Partial",F10*0.5,0))</f>
        <v/>
      </c>
      <c r="I10" s="6" t="inlineStr">
        <is>
          <t>Y</t>
        </is>
      </c>
      <c r="J10" s="6" t="inlineStr">
        <is>
          <t>Income tax not deductible</t>
        </is>
      </c>
    </row>
    <row r="11">
      <c r="A11" s="8" t="n">
        <v>8</v>
      </c>
      <c r="B11" s="15" t="inlineStr">
        <is>
          <t>2026-02-15</t>
        </is>
      </c>
      <c r="C11" s="8" t="inlineStr">
        <is>
          <t>LinkedIn</t>
        </is>
      </c>
      <c r="D11" s="8" t="inlineStr">
        <is>
          <t>Marketing &amp; Advertising</t>
        </is>
      </c>
      <c r="E11" s="8" t="inlineStr">
        <is>
          <t>LinkedIn Premium</t>
        </is>
      </c>
      <c r="F11" s="16" t="n">
        <v>59.99</v>
      </c>
      <c r="G11" s="8" t="inlineStr">
        <is>
          <t>Yes</t>
        </is>
      </c>
      <c r="H11" s="16">
        <f>IF(G11="Yes",F11,IF(G11="Partial",F11*0.5,0))</f>
        <v/>
      </c>
      <c r="I11" s="8" t="inlineStr">
        <is>
          <t>Y</t>
        </is>
      </c>
      <c r="J11" s="8" t="inlineStr">
        <is>
          <t>Business networking</t>
        </is>
      </c>
    </row>
    <row r="12">
      <c r="A12" s="6" t="n">
        <v>9</v>
      </c>
      <c r="B12" s="13" t="inlineStr">
        <is>
          <t>2026-03-01</t>
        </is>
      </c>
      <c r="C12" s="6" t="inlineStr">
        <is>
          <t>Stripe</t>
        </is>
      </c>
      <c r="D12" s="6" t="inlineStr">
        <is>
          <t>Bank Fees &amp; Interest</t>
        </is>
      </c>
      <c r="E12" s="6" t="inlineStr">
        <is>
          <t>Payment processing fees</t>
        </is>
      </c>
      <c r="F12" s="14" t="n">
        <v>127.5</v>
      </c>
      <c r="G12" s="6" t="inlineStr">
        <is>
          <t>Yes</t>
        </is>
      </c>
      <c r="H12" s="14">
        <f>IF(G12="Yes",F12,IF(G12="Partial",F12*0.5,0))</f>
        <v/>
      </c>
      <c r="I12" s="6" t="inlineStr">
        <is>
          <t>Y</t>
        </is>
      </c>
      <c r="J12" s="6" t="inlineStr">
        <is>
          <t>Feb transactions</t>
        </is>
      </c>
    </row>
    <row r="13">
      <c r="A13" s="8" t="n">
        <v>10</v>
      </c>
      <c r="B13" s="15" t="inlineStr">
        <is>
          <t>2026-03-05</t>
        </is>
      </c>
      <c r="C13" s="8" t="inlineStr">
        <is>
          <t>Udemy</t>
        </is>
      </c>
      <c r="D13" s="8" t="inlineStr">
        <is>
          <t>Education &amp; Training</t>
        </is>
      </c>
      <c r="E13" s="8" t="inlineStr">
        <is>
          <t>Advanced React course</t>
        </is>
      </c>
      <c r="F13" s="16" t="n">
        <v>19.99</v>
      </c>
      <c r="G13" s="8" t="inlineStr">
        <is>
          <t>Yes</t>
        </is>
      </c>
      <c r="H13" s="16">
        <f>IF(G13="Yes",F13,IF(G13="Partial",F13*0.5,0))</f>
        <v/>
      </c>
      <c r="I13" s="8" t="inlineStr">
        <is>
          <t>Y</t>
        </is>
      </c>
      <c r="J13" s="8" t="inlineStr">
        <is>
          <t>Skill development</t>
        </is>
      </c>
    </row>
    <row r="14">
      <c r="A14" s="17" t="n"/>
      <c r="B14" s="17" t="n"/>
      <c r="C14" s="17" t="n"/>
      <c r="D14" s="18" t="inlineStr">
        <is>
          <t>TOTAL</t>
        </is>
      </c>
      <c r="E14" s="17" t="n"/>
      <c r="F14" s="19">
        <f>SUM(F4:F13)</f>
        <v/>
      </c>
      <c r="G14" s="17" t="n"/>
      <c r="H14" s="19">
        <f>SUM(H4:H13)</f>
        <v/>
      </c>
      <c r="I14" s="17" t="n"/>
      <c r="J14" s="17" t="n"/>
    </row>
    <row r="15">
      <c r="A15" s="8">
        <f>IF(F15="","",ROW()-3)</f>
        <v/>
      </c>
      <c r="B15" s="15" t="n"/>
      <c r="C15" s="8" t="n"/>
      <c r="D15" s="8" t="n"/>
      <c r="E15" s="8" t="n"/>
      <c r="F15" s="16" t="n"/>
      <c r="G15" s="8" t="n"/>
      <c r="H15" s="16">
        <f>IF(G15="Yes",F15,IF(G15="Partial",F15*0.5,0))</f>
        <v/>
      </c>
      <c r="I15" s="8" t="n"/>
      <c r="J15" s="8" t="n"/>
    </row>
    <row r="16">
      <c r="A16" s="8">
        <f>IF(F16="","",ROW()-3)</f>
        <v/>
      </c>
      <c r="B16" s="15" t="n"/>
      <c r="C16" s="8" t="n"/>
      <c r="D16" s="8" t="n"/>
      <c r="E16" s="8" t="n"/>
      <c r="F16" s="16" t="n"/>
      <c r="G16" s="8" t="n"/>
      <c r="H16" s="16">
        <f>IF(G16="Yes",F16,IF(G16="Partial",F16*0.5,0))</f>
        <v/>
      </c>
      <c r="I16" s="8" t="n"/>
      <c r="J16" s="8" t="n"/>
    </row>
    <row r="17">
      <c r="A17" s="8">
        <f>IF(F17="","",ROW()-3)</f>
        <v/>
      </c>
      <c r="B17" s="15" t="n"/>
      <c r="C17" s="8" t="n"/>
      <c r="D17" s="8" t="n"/>
      <c r="E17" s="8" t="n"/>
      <c r="F17" s="16" t="n"/>
      <c r="G17" s="8" t="n"/>
      <c r="H17" s="16">
        <f>IF(G17="Yes",F17,IF(G17="Partial",F17*0.5,0))</f>
        <v/>
      </c>
      <c r="I17" s="8" t="n"/>
      <c r="J17" s="8" t="n"/>
    </row>
    <row r="18">
      <c r="A18" s="8">
        <f>IF(F18="","",ROW()-3)</f>
        <v/>
      </c>
      <c r="B18" s="15" t="n"/>
      <c r="C18" s="8" t="n"/>
      <c r="D18" s="8" t="n"/>
      <c r="E18" s="8" t="n"/>
      <c r="F18" s="16" t="n"/>
      <c r="G18" s="8" t="n"/>
      <c r="H18" s="16">
        <f>IF(G18="Yes",F18,IF(G18="Partial",F18*0.5,0))</f>
        <v/>
      </c>
      <c r="I18" s="8" t="n"/>
      <c r="J18" s="8" t="n"/>
    </row>
    <row r="19">
      <c r="A19" s="8">
        <f>IF(F19="","",ROW()-3)</f>
        <v/>
      </c>
      <c r="B19" s="15" t="n"/>
      <c r="C19" s="8" t="n"/>
      <c r="D19" s="8" t="n"/>
      <c r="E19" s="8" t="n"/>
      <c r="F19" s="16" t="n"/>
      <c r="G19" s="8" t="n"/>
      <c r="H19" s="16">
        <f>IF(G19="Yes",F19,IF(G19="Partial",F19*0.5,0))</f>
        <v/>
      </c>
      <c r="I19" s="8" t="n"/>
      <c r="J19" s="8" t="n"/>
    </row>
    <row r="20">
      <c r="A20" s="8">
        <f>IF(F20="","",ROW()-3)</f>
        <v/>
      </c>
      <c r="B20" s="15" t="n"/>
      <c r="C20" s="8" t="n"/>
      <c r="D20" s="8" t="n"/>
      <c r="E20" s="8" t="n"/>
      <c r="F20" s="16" t="n"/>
      <c r="G20" s="8" t="n"/>
      <c r="H20" s="16">
        <f>IF(G20="Yes",F20,IF(G20="Partial",F20*0.5,0))</f>
        <v/>
      </c>
      <c r="I20" s="8" t="n"/>
      <c r="J20" s="8" t="n"/>
    </row>
    <row r="21">
      <c r="A21" s="8">
        <f>IF(F21="","",ROW()-3)</f>
        <v/>
      </c>
      <c r="B21" s="15" t="n"/>
      <c r="C21" s="8" t="n"/>
      <c r="D21" s="8" t="n"/>
      <c r="E21" s="8" t="n"/>
      <c r="F21" s="16" t="n"/>
      <c r="G21" s="8" t="n"/>
      <c r="H21" s="16">
        <f>IF(G21="Yes",F21,IF(G21="Partial",F21*0.5,0))</f>
        <v/>
      </c>
      <c r="I21" s="8" t="n"/>
      <c r="J21" s="8" t="n"/>
    </row>
    <row r="22">
      <c r="A22" s="8">
        <f>IF(F22="","",ROW()-3)</f>
        <v/>
      </c>
      <c r="B22" s="15" t="n"/>
      <c r="C22" s="8" t="n"/>
      <c r="D22" s="8" t="n"/>
      <c r="E22" s="8" t="n"/>
      <c r="F22" s="16" t="n"/>
      <c r="G22" s="8" t="n"/>
      <c r="H22" s="16">
        <f>IF(G22="Yes",F22,IF(G22="Partial",F22*0.5,0))</f>
        <v/>
      </c>
      <c r="I22" s="8" t="n"/>
      <c r="J22" s="8" t="n"/>
    </row>
    <row r="23">
      <c r="A23" s="8">
        <f>IF(F23="","",ROW()-3)</f>
        <v/>
      </c>
      <c r="B23" s="15" t="n"/>
      <c r="C23" s="8" t="n"/>
      <c r="D23" s="8" t="n"/>
      <c r="E23" s="8" t="n"/>
      <c r="F23" s="16" t="n"/>
      <c r="G23" s="8" t="n"/>
      <c r="H23" s="16">
        <f>IF(G23="Yes",F23,IF(G23="Partial",F23*0.5,0))</f>
        <v/>
      </c>
      <c r="I23" s="8" t="n"/>
      <c r="J23" s="8" t="n"/>
    </row>
    <row r="24">
      <c r="A24" s="8">
        <f>IF(F24="","",ROW()-3)</f>
        <v/>
      </c>
      <c r="B24" s="15" t="n"/>
      <c r="C24" s="8" t="n"/>
      <c r="D24" s="8" t="n"/>
      <c r="E24" s="8" t="n"/>
      <c r="F24" s="16" t="n"/>
      <c r="G24" s="8" t="n"/>
      <c r="H24" s="16">
        <f>IF(G24="Yes",F24,IF(G24="Partial",F24*0.5,0))</f>
        <v/>
      </c>
      <c r="I24" s="8" t="n"/>
      <c r="J24" s="8" t="n"/>
    </row>
    <row r="25">
      <c r="A25" s="8">
        <f>IF(F25="","",ROW()-3)</f>
        <v/>
      </c>
      <c r="B25" s="15" t="n"/>
      <c r="C25" s="8" t="n"/>
      <c r="D25" s="8" t="n"/>
      <c r="E25" s="8" t="n"/>
      <c r="F25" s="16" t="n"/>
      <c r="G25" s="8" t="n"/>
      <c r="H25" s="16">
        <f>IF(G25="Yes",F25,IF(G25="Partial",F25*0.5,0))</f>
        <v/>
      </c>
      <c r="I25" s="8" t="n"/>
      <c r="J25" s="8" t="n"/>
    </row>
    <row r="26">
      <c r="A26" s="8">
        <f>IF(F26="","",ROW()-3)</f>
        <v/>
      </c>
      <c r="B26" s="15" t="n"/>
      <c r="C26" s="8" t="n"/>
      <c r="D26" s="8" t="n"/>
      <c r="E26" s="8" t="n"/>
      <c r="F26" s="16" t="n"/>
      <c r="G26" s="8" t="n"/>
      <c r="H26" s="16">
        <f>IF(G26="Yes",F26,IF(G26="Partial",F26*0.5,0))</f>
        <v/>
      </c>
      <c r="I26" s="8" t="n"/>
      <c r="J26" s="8" t="n"/>
    </row>
    <row r="27">
      <c r="A27" s="8">
        <f>IF(F27="","",ROW()-3)</f>
        <v/>
      </c>
      <c r="B27" s="15" t="n"/>
      <c r="C27" s="8" t="n"/>
      <c r="D27" s="8" t="n"/>
      <c r="E27" s="8" t="n"/>
      <c r="F27" s="16" t="n"/>
      <c r="G27" s="8" t="n"/>
      <c r="H27" s="16">
        <f>IF(G27="Yes",F27,IF(G27="Partial",F27*0.5,0))</f>
        <v/>
      </c>
      <c r="I27" s="8" t="n"/>
      <c r="J27" s="8" t="n"/>
    </row>
    <row r="28">
      <c r="A28" s="8">
        <f>IF(F28="","",ROW()-3)</f>
        <v/>
      </c>
      <c r="B28" s="15" t="n"/>
      <c r="C28" s="8" t="n"/>
      <c r="D28" s="8" t="n"/>
      <c r="E28" s="8" t="n"/>
      <c r="F28" s="16" t="n"/>
      <c r="G28" s="8" t="n"/>
      <c r="H28" s="16">
        <f>IF(G28="Yes",F28,IF(G28="Partial",F28*0.5,0))</f>
        <v/>
      </c>
      <c r="I28" s="8" t="n"/>
      <c r="J28" s="8" t="n"/>
    </row>
    <row r="29">
      <c r="A29" s="8">
        <f>IF(F29="","",ROW()-3)</f>
        <v/>
      </c>
      <c r="B29" s="15" t="n"/>
      <c r="C29" s="8" t="n"/>
      <c r="D29" s="8" t="n"/>
      <c r="E29" s="8" t="n"/>
      <c r="F29" s="16" t="n"/>
      <c r="G29" s="8" t="n"/>
      <c r="H29" s="16">
        <f>IF(G29="Yes",F29,IF(G29="Partial",F29*0.5,0))</f>
        <v/>
      </c>
      <c r="I29" s="8" t="n"/>
      <c r="J29" s="8" t="n"/>
    </row>
    <row r="30">
      <c r="A30" s="8">
        <f>IF(F30="","",ROW()-3)</f>
        <v/>
      </c>
      <c r="B30" s="15" t="n"/>
      <c r="C30" s="8" t="n"/>
      <c r="D30" s="8" t="n"/>
      <c r="E30" s="8" t="n"/>
      <c r="F30" s="16" t="n"/>
      <c r="G30" s="8" t="n"/>
      <c r="H30" s="16">
        <f>IF(G30="Yes",F30,IF(G30="Partial",F30*0.5,0))</f>
        <v/>
      </c>
      <c r="I30" s="8" t="n"/>
      <c r="J30" s="8" t="n"/>
    </row>
    <row r="31">
      <c r="A31" s="8">
        <f>IF(F31="","",ROW()-3)</f>
        <v/>
      </c>
      <c r="B31" s="15" t="n"/>
      <c r="C31" s="8" t="n"/>
      <c r="D31" s="8" t="n"/>
      <c r="E31" s="8" t="n"/>
      <c r="F31" s="16" t="n"/>
      <c r="G31" s="8" t="n"/>
      <c r="H31" s="16">
        <f>IF(G31="Yes",F31,IF(G31="Partial",F31*0.5,0))</f>
        <v/>
      </c>
      <c r="I31" s="8" t="n"/>
      <c r="J31" s="8" t="n"/>
    </row>
    <row r="32">
      <c r="A32" s="8">
        <f>IF(F32="","",ROW()-3)</f>
        <v/>
      </c>
      <c r="B32" s="15" t="n"/>
      <c r="C32" s="8" t="n"/>
      <c r="D32" s="8" t="n"/>
      <c r="E32" s="8" t="n"/>
      <c r="F32" s="16" t="n"/>
      <c r="G32" s="8" t="n"/>
      <c r="H32" s="16">
        <f>IF(G32="Yes",F32,IF(G32="Partial",F32*0.5,0))</f>
        <v/>
      </c>
      <c r="I32" s="8" t="n"/>
      <c r="J32" s="8" t="n"/>
    </row>
    <row r="33">
      <c r="A33" s="8">
        <f>IF(F33="","",ROW()-3)</f>
        <v/>
      </c>
      <c r="B33" s="15" t="n"/>
      <c r="C33" s="8" t="n"/>
      <c r="D33" s="8" t="n"/>
      <c r="E33" s="8" t="n"/>
      <c r="F33" s="16" t="n"/>
      <c r="G33" s="8" t="n"/>
      <c r="H33" s="16">
        <f>IF(G33="Yes",F33,IF(G33="Partial",F33*0.5,0))</f>
        <v/>
      </c>
      <c r="I33" s="8" t="n"/>
      <c r="J33" s="8" t="n"/>
    </row>
    <row r="34">
      <c r="A34" s="8">
        <f>IF(F34="","",ROW()-3)</f>
        <v/>
      </c>
      <c r="B34" s="15" t="n"/>
      <c r="C34" s="8" t="n"/>
      <c r="D34" s="8" t="n"/>
      <c r="E34" s="8" t="n"/>
      <c r="F34" s="16" t="n"/>
      <c r="G34" s="8" t="n"/>
      <c r="H34" s="16">
        <f>IF(G34="Yes",F34,IF(G34="Partial",F34*0.5,0))</f>
        <v/>
      </c>
      <c r="I34" s="8" t="n"/>
      <c r="J34" s="8" t="n"/>
    </row>
    <row r="35">
      <c r="A35" s="8">
        <f>IF(F35="","",ROW()-3)</f>
        <v/>
      </c>
      <c r="B35" s="15" t="n"/>
      <c r="C35" s="8" t="n"/>
      <c r="D35" s="8" t="n"/>
      <c r="E35" s="8" t="n"/>
      <c r="F35" s="16" t="n"/>
      <c r="G35" s="8" t="n"/>
      <c r="H35" s="16">
        <f>IF(G35="Yes",F35,IF(G35="Partial",F35*0.5,0))</f>
        <v/>
      </c>
      <c r="I35" s="8" t="n"/>
      <c r="J35" s="8" t="n"/>
    </row>
    <row r="36">
      <c r="A36" s="8">
        <f>IF(F36="","",ROW()-3)</f>
        <v/>
      </c>
      <c r="B36" s="15" t="n"/>
      <c r="C36" s="8" t="n"/>
      <c r="D36" s="8" t="n"/>
      <c r="E36" s="8" t="n"/>
      <c r="F36" s="16" t="n"/>
      <c r="G36" s="8" t="n"/>
      <c r="H36" s="16">
        <f>IF(G36="Yes",F36,IF(G36="Partial",F36*0.5,0))</f>
        <v/>
      </c>
      <c r="I36" s="8" t="n"/>
      <c r="J36" s="8" t="n"/>
    </row>
    <row r="37">
      <c r="A37" s="8">
        <f>IF(F37="","",ROW()-3)</f>
        <v/>
      </c>
      <c r="B37" s="15" t="n"/>
      <c r="C37" s="8" t="n"/>
      <c r="D37" s="8" t="n"/>
      <c r="E37" s="8" t="n"/>
      <c r="F37" s="16" t="n"/>
      <c r="G37" s="8" t="n"/>
      <c r="H37" s="16">
        <f>IF(G37="Yes",F37,IF(G37="Partial",F37*0.5,0))</f>
        <v/>
      </c>
      <c r="I37" s="8" t="n"/>
      <c r="J37" s="8" t="n"/>
    </row>
    <row r="38">
      <c r="A38" s="8">
        <f>IF(F38="","",ROW()-3)</f>
        <v/>
      </c>
      <c r="B38" s="15" t="n"/>
      <c r="C38" s="8" t="n"/>
      <c r="D38" s="8" t="n"/>
      <c r="E38" s="8" t="n"/>
      <c r="F38" s="16" t="n"/>
      <c r="G38" s="8" t="n"/>
      <c r="H38" s="16">
        <f>IF(G38="Yes",F38,IF(G38="Partial",F38*0.5,0))</f>
        <v/>
      </c>
      <c r="I38" s="8" t="n"/>
      <c r="J38" s="8" t="n"/>
    </row>
    <row r="39">
      <c r="A39" s="8">
        <f>IF(F39="","",ROW()-3)</f>
        <v/>
      </c>
      <c r="B39" s="15" t="n"/>
      <c r="C39" s="8" t="n"/>
      <c r="D39" s="8" t="n"/>
      <c r="E39" s="8" t="n"/>
      <c r="F39" s="16" t="n"/>
      <c r="G39" s="8" t="n"/>
      <c r="H39" s="16">
        <f>IF(G39="Yes",F39,IF(G39="Partial",F39*0.5,0))</f>
        <v/>
      </c>
      <c r="I39" s="8" t="n"/>
      <c r="J39" s="8" t="n"/>
    </row>
    <row r="40">
      <c r="A40" s="8">
        <f>IF(F40="","",ROW()-3)</f>
        <v/>
      </c>
      <c r="B40" s="15" t="n"/>
      <c r="C40" s="8" t="n"/>
      <c r="D40" s="8" t="n"/>
      <c r="E40" s="8" t="n"/>
      <c r="F40" s="16" t="n"/>
      <c r="G40" s="8" t="n"/>
      <c r="H40" s="16">
        <f>IF(G40="Yes",F40,IF(G40="Partial",F40*0.5,0))</f>
        <v/>
      </c>
      <c r="I40" s="8" t="n"/>
      <c r="J40" s="8" t="n"/>
    </row>
    <row r="41">
      <c r="A41" s="8">
        <f>IF(F41="","",ROW()-3)</f>
        <v/>
      </c>
      <c r="B41" s="15" t="n"/>
      <c r="C41" s="8" t="n"/>
      <c r="D41" s="8" t="n"/>
      <c r="E41" s="8" t="n"/>
      <c r="F41" s="16" t="n"/>
      <c r="G41" s="8" t="n"/>
      <c r="H41" s="16">
        <f>IF(G41="Yes",F41,IF(G41="Partial",F41*0.5,0))</f>
        <v/>
      </c>
      <c r="I41" s="8" t="n"/>
      <c r="J41" s="8" t="n"/>
    </row>
    <row r="42">
      <c r="A42" s="8">
        <f>IF(F42="","",ROW()-3)</f>
        <v/>
      </c>
      <c r="B42" s="15" t="n"/>
      <c r="C42" s="8" t="n"/>
      <c r="D42" s="8" t="n"/>
      <c r="E42" s="8" t="n"/>
      <c r="F42" s="16" t="n"/>
      <c r="G42" s="8" t="n"/>
      <c r="H42" s="16">
        <f>IF(G42="Yes",F42,IF(G42="Partial",F42*0.5,0))</f>
        <v/>
      </c>
      <c r="I42" s="8" t="n"/>
      <c r="J42" s="8" t="n"/>
    </row>
    <row r="43">
      <c r="A43" s="8">
        <f>IF(F43="","",ROW()-3)</f>
        <v/>
      </c>
      <c r="B43" s="15" t="n"/>
      <c r="C43" s="8" t="n"/>
      <c r="D43" s="8" t="n"/>
      <c r="E43" s="8" t="n"/>
      <c r="F43" s="16" t="n"/>
      <c r="G43" s="8" t="n"/>
      <c r="H43" s="16">
        <f>IF(G43="Yes",F43,IF(G43="Partial",F43*0.5,0))</f>
        <v/>
      </c>
      <c r="I43" s="8" t="n"/>
      <c r="J43" s="8" t="n"/>
    </row>
    <row r="44">
      <c r="A44" s="8">
        <f>IF(F44="","",ROW()-3)</f>
        <v/>
      </c>
      <c r="B44" s="15" t="n"/>
      <c r="C44" s="8" t="n"/>
      <c r="D44" s="8" t="n"/>
      <c r="E44" s="8" t="n"/>
      <c r="F44" s="16" t="n"/>
      <c r="G44" s="8" t="n"/>
      <c r="H44" s="16">
        <f>IF(G44="Yes",F44,IF(G44="Partial",F44*0.5,0))</f>
        <v/>
      </c>
      <c r="I44" s="8" t="n"/>
      <c r="J44" s="8" t="n"/>
    </row>
    <row r="45">
      <c r="A45" s="8">
        <f>IF(F45="","",ROW()-3)</f>
        <v/>
      </c>
      <c r="B45" s="15" t="n"/>
      <c r="C45" s="8" t="n"/>
      <c r="D45" s="8" t="n"/>
      <c r="E45" s="8" t="n"/>
      <c r="F45" s="16" t="n"/>
      <c r="G45" s="8" t="n"/>
      <c r="H45" s="16">
        <f>IF(G45="Yes",F45,IF(G45="Partial",F45*0.5,0))</f>
        <v/>
      </c>
      <c r="I45" s="8" t="n"/>
      <c r="J45" s="8" t="n"/>
    </row>
    <row r="46">
      <c r="A46" s="8">
        <f>IF(F46="","",ROW()-3)</f>
        <v/>
      </c>
      <c r="B46" s="15" t="n"/>
      <c r="C46" s="8" t="n"/>
      <c r="D46" s="8" t="n"/>
      <c r="E46" s="8" t="n"/>
      <c r="F46" s="16" t="n"/>
      <c r="G46" s="8" t="n"/>
      <c r="H46" s="16">
        <f>IF(G46="Yes",F46,IF(G46="Partial",F46*0.5,0))</f>
        <v/>
      </c>
      <c r="I46" s="8" t="n"/>
      <c r="J46" s="8" t="n"/>
    </row>
    <row r="47">
      <c r="A47" s="8">
        <f>IF(F47="","",ROW()-3)</f>
        <v/>
      </c>
      <c r="B47" s="15" t="n"/>
      <c r="C47" s="8" t="n"/>
      <c r="D47" s="8" t="n"/>
      <c r="E47" s="8" t="n"/>
      <c r="F47" s="16" t="n"/>
      <c r="G47" s="8" t="n"/>
      <c r="H47" s="16">
        <f>IF(G47="Yes",F47,IF(G47="Partial",F47*0.5,0))</f>
        <v/>
      </c>
      <c r="I47" s="8" t="n"/>
      <c r="J47" s="8" t="n"/>
    </row>
    <row r="48">
      <c r="A48" s="8">
        <f>IF(F48="","",ROW()-3)</f>
        <v/>
      </c>
      <c r="B48" s="15" t="n"/>
      <c r="C48" s="8" t="n"/>
      <c r="D48" s="8" t="n"/>
      <c r="E48" s="8" t="n"/>
      <c r="F48" s="16" t="n"/>
      <c r="G48" s="8" t="n"/>
      <c r="H48" s="16">
        <f>IF(G48="Yes",F48,IF(G48="Partial",F48*0.5,0))</f>
        <v/>
      </c>
      <c r="I48" s="8" t="n"/>
      <c r="J48" s="8" t="n"/>
    </row>
    <row r="49">
      <c r="A49" s="8">
        <f>IF(F49="","",ROW()-3)</f>
        <v/>
      </c>
      <c r="B49" s="15" t="n"/>
      <c r="C49" s="8" t="n"/>
      <c r="D49" s="8" t="n"/>
      <c r="E49" s="8" t="n"/>
      <c r="F49" s="16" t="n"/>
      <c r="G49" s="8" t="n"/>
      <c r="H49" s="16">
        <f>IF(G49="Yes",F49,IF(G49="Partial",F49*0.5,0))</f>
        <v/>
      </c>
      <c r="I49" s="8" t="n"/>
      <c r="J49" s="8" t="n"/>
    </row>
    <row r="50">
      <c r="A50" s="8">
        <f>IF(F50="","",ROW()-3)</f>
        <v/>
      </c>
      <c r="B50" s="15" t="n"/>
      <c r="C50" s="8" t="n"/>
      <c r="D50" s="8" t="n"/>
      <c r="E50" s="8" t="n"/>
      <c r="F50" s="16" t="n"/>
      <c r="G50" s="8" t="n"/>
      <c r="H50" s="16">
        <f>IF(G50="Yes",F50,IF(G50="Partial",F50*0.5,0))</f>
        <v/>
      </c>
      <c r="I50" s="8" t="n"/>
      <c r="J50" s="8" t="n"/>
    </row>
    <row r="51">
      <c r="A51" s="8">
        <f>IF(F51="","",ROW()-3)</f>
        <v/>
      </c>
      <c r="B51" s="15" t="n"/>
      <c r="C51" s="8" t="n"/>
      <c r="D51" s="8" t="n"/>
      <c r="E51" s="8" t="n"/>
      <c r="F51" s="16" t="n"/>
      <c r="G51" s="8" t="n"/>
      <c r="H51" s="16">
        <f>IF(G51="Yes",F51,IF(G51="Partial",F51*0.5,0))</f>
        <v/>
      </c>
      <c r="I51" s="8" t="n"/>
      <c r="J51" s="8" t="n"/>
    </row>
    <row r="52">
      <c r="A52" s="8">
        <f>IF(F52="","",ROW()-3)</f>
        <v/>
      </c>
      <c r="B52" s="15" t="n"/>
      <c r="C52" s="8" t="n"/>
      <c r="D52" s="8" t="n"/>
      <c r="E52" s="8" t="n"/>
      <c r="F52" s="16" t="n"/>
      <c r="G52" s="8" t="n"/>
      <c r="H52" s="16">
        <f>IF(G52="Yes",F52,IF(G52="Partial",F52*0.5,0))</f>
        <v/>
      </c>
      <c r="I52" s="8" t="n"/>
      <c r="J52" s="8" t="n"/>
    </row>
    <row r="53">
      <c r="A53" s="8">
        <f>IF(F53="","",ROW()-3)</f>
        <v/>
      </c>
      <c r="B53" s="15" t="n"/>
      <c r="C53" s="8" t="n"/>
      <c r="D53" s="8" t="n"/>
      <c r="E53" s="8" t="n"/>
      <c r="F53" s="16" t="n"/>
      <c r="G53" s="8" t="n"/>
      <c r="H53" s="16">
        <f>IF(G53="Yes",F53,IF(G53="Partial",F53*0.5,0))</f>
        <v/>
      </c>
      <c r="I53" s="8" t="n"/>
      <c r="J53" s="8" t="n"/>
    </row>
    <row r="54">
      <c r="A54" s="8">
        <f>IF(F54="","",ROW()-3)</f>
        <v/>
      </c>
      <c r="B54" s="15" t="n"/>
      <c r="C54" s="8" t="n"/>
      <c r="D54" s="8" t="n"/>
      <c r="E54" s="8" t="n"/>
      <c r="F54" s="16" t="n"/>
      <c r="G54" s="8" t="n"/>
      <c r="H54" s="16">
        <f>IF(G54="Yes",F54,IF(G54="Partial",F54*0.5,0))</f>
        <v/>
      </c>
      <c r="I54" s="8" t="n"/>
      <c r="J54" s="8" t="n"/>
    </row>
    <row r="55">
      <c r="A55" s="8">
        <f>IF(F55="","",ROW()-3)</f>
        <v/>
      </c>
      <c r="B55" s="15" t="n"/>
      <c r="C55" s="8" t="n"/>
      <c r="D55" s="8" t="n"/>
      <c r="E55" s="8" t="n"/>
      <c r="F55" s="16" t="n"/>
      <c r="G55" s="8" t="n"/>
      <c r="H55" s="16">
        <f>IF(G55="Yes",F55,IF(G55="Partial",F55*0.5,0))</f>
        <v/>
      </c>
      <c r="I55" s="8" t="n"/>
      <c r="J55" s="8" t="n"/>
    </row>
    <row r="56">
      <c r="A56" s="8">
        <f>IF(F56="","",ROW()-3)</f>
        <v/>
      </c>
      <c r="B56" s="15" t="n"/>
      <c r="C56" s="8" t="n"/>
      <c r="D56" s="8" t="n"/>
      <c r="E56" s="8" t="n"/>
      <c r="F56" s="16" t="n"/>
      <c r="G56" s="8" t="n"/>
      <c r="H56" s="16">
        <f>IF(G56="Yes",F56,IF(G56="Partial",F56*0.5,0))</f>
        <v/>
      </c>
      <c r="I56" s="8" t="n"/>
      <c r="J56" s="8" t="n"/>
    </row>
    <row r="57">
      <c r="A57" s="8">
        <f>IF(F57="","",ROW()-3)</f>
        <v/>
      </c>
      <c r="B57" s="15" t="n"/>
      <c r="C57" s="8" t="n"/>
      <c r="D57" s="8" t="n"/>
      <c r="E57" s="8" t="n"/>
      <c r="F57" s="16" t="n"/>
      <c r="G57" s="8" t="n"/>
      <c r="H57" s="16">
        <f>IF(G57="Yes",F57,IF(G57="Partial",F57*0.5,0))</f>
        <v/>
      </c>
      <c r="I57" s="8" t="n"/>
      <c r="J57" s="8" t="n"/>
    </row>
    <row r="58">
      <c r="A58" s="8">
        <f>IF(F58="","",ROW()-3)</f>
        <v/>
      </c>
      <c r="B58" s="15" t="n"/>
      <c r="C58" s="8" t="n"/>
      <c r="D58" s="8" t="n"/>
      <c r="E58" s="8" t="n"/>
      <c r="F58" s="16" t="n"/>
      <c r="G58" s="8" t="n"/>
      <c r="H58" s="16">
        <f>IF(G58="Yes",F58,IF(G58="Partial",F58*0.5,0))</f>
        <v/>
      </c>
      <c r="I58" s="8" t="n"/>
      <c r="J58" s="8" t="n"/>
    </row>
    <row r="59">
      <c r="A59" s="8">
        <f>IF(F59="","",ROW()-3)</f>
        <v/>
      </c>
      <c r="B59" s="15" t="n"/>
      <c r="C59" s="8" t="n"/>
      <c r="D59" s="8" t="n"/>
      <c r="E59" s="8" t="n"/>
      <c r="F59" s="16" t="n"/>
      <c r="G59" s="8" t="n"/>
      <c r="H59" s="16">
        <f>IF(G59="Yes",F59,IF(G59="Partial",F59*0.5,0))</f>
        <v/>
      </c>
      <c r="I59" s="8" t="n"/>
      <c r="J59" s="8" t="n"/>
    </row>
    <row r="60">
      <c r="A60" s="8">
        <f>IF(F60="","",ROW()-3)</f>
        <v/>
      </c>
      <c r="B60" s="15" t="n"/>
      <c r="C60" s="8" t="n"/>
      <c r="D60" s="8" t="n"/>
      <c r="E60" s="8" t="n"/>
      <c r="F60" s="16" t="n"/>
      <c r="G60" s="8" t="n"/>
      <c r="H60" s="16">
        <f>IF(G60="Yes",F60,IF(G60="Partial",F60*0.5,0))</f>
        <v/>
      </c>
      <c r="I60" s="8" t="n"/>
      <c r="J60" s="8" t="n"/>
    </row>
    <row r="61">
      <c r="A61" s="8">
        <f>IF(F61="","",ROW()-3)</f>
        <v/>
      </c>
      <c r="B61" s="15" t="n"/>
      <c r="C61" s="8" t="n"/>
      <c r="D61" s="8" t="n"/>
      <c r="E61" s="8" t="n"/>
      <c r="F61" s="16" t="n"/>
      <c r="G61" s="8" t="n"/>
      <c r="H61" s="16">
        <f>IF(G61="Yes",F61,IF(G61="Partial",F61*0.5,0))</f>
        <v/>
      </c>
      <c r="I61" s="8" t="n"/>
      <c r="J61" s="8" t="n"/>
    </row>
    <row r="62">
      <c r="A62" s="8">
        <f>IF(F62="","",ROW()-3)</f>
        <v/>
      </c>
      <c r="B62" s="15" t="n"/>
      <c r="C62" s="8" t="n"/>
      <c r="D62" s="8" t="n"/>
      <c r="E62" s="8" t="n"/>
      <c r="F62" s="16" t="n"/>
      <c r="G62" s="8" t="n"/>
      <c r="H62" s="16">
        <f>IF(G62="Yes",F62,IF(G62="Partial",F62*0.5,0))</f>
        <v/>
      </c>
      <c r="I62" s="8" t="n"/>
      <c r="J62" s="8" t="n"/>
    </row>
    <row r="63">
      <c r="A63" s="8">
        <f>IF(F63="","",ROW()-3)</f>
        <v/>
      </c>
      <c r="B63" s="15" t="n"/>
      <c r="C63" s="8" t="n"/>
      <c r="D63" s="8" t="n"/>
      <c r="E63" s="8" t="n"/>
      <c r="F63" s="16" t="n"/>
      <c r="G63" s="8" t="n"/>
      <c r="H63" s="16">
        <f>IF(G63="Yes",F63,IF(G63="Partial",F63*0.5,0))</f>
        <v/>
      </c>
      <c r="I63" s="8" t="n"/>
      <c r="J63" s="8" t="n"/>
    </row>
    <row r="64">
      <c r="A64" s="8">
        <f>IF(F64="","",ROW()-3)</f>
        <v/>
      </c>
      <c r="B64" s="15" t="n"/>
      <c r="C64" s="8" t="n"/>
      <c r="D64" s="8" t="n"/>
      <c r="E64" s="8" t="n"/>
      <c r="F64" s="16" t="n"/>
      <c r="G64" s="8" t="n"/>
      <c r="H64" s="16">
        <f>IF(G64="Yes",F64,IF(G64="Partial",F64*0.5,0))</f>
        <v/>
      </c>
      <c r="I64" s="8" t="n"/>
      <c r="J64" s="8" t="n"/>
    </row>
    <row r="65">
      <c r="A65" s="8">
        <f>IF(F65="","",ROW()-3)</f>
        <v/>
      </c>
      <c r="B65" s="15" t="n"/>
      <c r="C65" s="8" t="n"/>
      <c r="D65" s="8" t="n"/>
      <c r="E65" s="8" t="n"/>
      <c r="F65" s="16" t="n"/>
      <c r="G65" s="8" t="n"/>
      <c r="H65" s="16">
        <f>IF(G65="Yes",F65,IF(G65="Partial",F65*0.5,0))</f>
        <v/>
      </c>
      <c r="I65" s="8" t="n"/>
      <c r="J65" s="8" t="n"/>
    </row>
    <row r="66">
      <c r="A66" s="8">
        <f>IF(F66="","",ROW()-3)</f>
        <v/>
      </c>
      <c r="B66" s="15" t="n"/>
      <c r="C66" s="8" t="n"/>
      <c r="D66" s="8" t="n"/>
      <c r="E66" s="8" t="n"/>
      <c r="F66" s="16" t="n"/>
      <c r="G66" s="8" t="n"/>
      <c r="H66" s="16">
        <f>IF(G66="Yes",F66,IF(G66="Partial",F66*0.5,0))</f>
        <v/>
      </c>
      <c r="I66" s="8" t="n"/>
      <c r="J66" s="8" t="n"/>
    </row>
    <row r="67">
      <c r="A67" s="8">
        <f>IF(F67="","",ROW()-3)</f>
        <v/>
      </c>
      <c r="B67" s="15" t="n"/>
      <c r="C67" s="8" t="n"/>
      <c r="D67" s="8" t="n"/>
      <c r="E67" s="8" t="n"/>
      <c r="F67" s="16" t="n"/>
      <c r="G67" s="8" t="n"/>
      <c r="H67" s="16">
        <f>IF(G67="Yes",F67,IF(G67="Partial",F67*0.5,0))</f>
        <v/>
      </c>
      <c r="I67" s="8" t="n"/>
      <c r="J67" s="8" t="n"/>
    </row>
    <row r="68">
      <c r="A68" s="8">
        <f>IF(F68="","",ROW()-3)</f>
        <v/>
      </c>
      <c r="B68" s="15" t="n"/>
      <c r="C68" s="8" t="n"/>
      <c r="D68" s="8" t="n"/>
      <c r="E68" s="8" t="n"/>
      <c r="F68" s="16" t="n"/>
      <c r="G68" s="8" t="n"/>
      <c r="H68" s="16">
        <f>IF(G68="Yes",F68,IF(G68="Partial",F68*0.5,0))</f>
        <v/>
      </c>
      <c r="I68" s="8" t="n"/>
      <c r="J68" s="8" t="n"/>
    </row>
    <row r="69">
      <c r="A69" s="8">
        <f>IF(F69="","",ROW()-3)</f>
        <v/>
      </c>
      <c r="B69" s="15" t="n"/>
      <c r="C69" s="8" t="n"/>
      <c r="D69" s="8" t="n"/>
      <c r="E69" s="8" t="n"/>
      <c r="F69" s="16" t="n"/>
      <c r="G69" s="8" t="n"/>
      <c r="H69" s="16">
        <f>IF(G69="Yes",F69,IF(G69="Partial",F69*0.5,0))</f>
        <v/>
      </c>
      <c r="I69" s="8" t="n"/>
      <c r="J69" s="8" t="n"/>
    </row>
    <row r="70">
      <c r="A70" s="8">
        <f>IF(F70="","",ROW()-3)</f>
        <v/>
      </c>
      <c r="B70" s="15" t="n"/>
      <c r="C70" s="8" t="n"/>
      <c r="D70" s="8" t="n"/>
      <c r="E70" s="8" t="n"/>
      <c r="F70" s="16" t="n"/>
      <c r="G70" s="8" t="n"/>
      <c r="H70" s="16">
        <f>IF(G70="Yes",F70,IF(G70="Partial",F70*0.5,0))</f>
        <v/>
      </c>
      <c r="I70" s="8" t="n"/>
      <c r="J70" s="8" t="n"/>
    </row>
    <row r="71">
      <c r="A71" s="8">
        <f>IF(F71="","",ROW()-3)</f>
        <v/>
      </c>
      <c r="B71" s="15" t="n"/>
      <c r="C71" s="8" t="n"/>
      <c r="D71" s="8" t="n"/>
      <c r="E71" s="8" t="n"/>
      <c r="F71" s="16" t="n"/>
      <c r="G71" s="8" t="n"/>
      <c r="H71" s="16">
        <f>IF(G71="Yes",F71,IF(G71="Partial",F71*0.5,0))</f>
        <v/>
      </c>
      <c r="I71" s="8" t="n"/>
      <c r="J71" s="8" t="n"/>
    </row>
    <row r="72">
      <c r="A72" s="8">
        <f>IF(F72="","",ROW()-3)</f>
        <v/>
      </c>
      <c r="B72" s="15" t="n"/>
      <c r="C72" s="8" t="n"/>
      <c r="D72" s="8" t="n"/>
      <c r="E72" s="8" t="n"/>
      <c r="F72" s="16" t="n"/>
      <c r="G72" s="8" t="n"/>
      <c r="H72" s="16">
        <f>IF(G72="Yes",F72,IF(G72="Partial",F72*0.5,0))</f>
        <v/>
      </c>
      <c r="I72" s="8" t="n"/>
      <c r="J72" s="8" t="n"/>
    </row>
    <row r="73">
      <c r="A73" s="8">
        <f>IF(F73="","",ROW()-3)</f>
        <v/>
      </c>
      <c r="B73" s="15" t="n"/>
      <c r="C73" s="8" t="n"/>
      <c r="D73" s="8" t="n"/>
      <c r="E73" s="8" t="n"/>
      <c r="F73" s="16" t="n"/>
      <c r="G73" s="8" t="n"/>
      <c r="H73" s="16">
        <f>IF(G73="Yes",F73,IF(G73="Partial",F73*0.5,0))</f>
        <v/>
      </c>
      <c r="I73" s="8" t="n"/>
      <c r="J73" s="8" t="n"/>
    </row>
    <row r="74">
      <c r="A74" s="8">
        <f>IF(F74="","",ROW()-3)</f>
        <v/>
      </c>
      <c r="B74" s="15" t="n"/>
      <c r="C74" s="8" t="n"/>
      <c r="D74" s="8" t="n"/>
      <c r="E74" s="8" t="n"/>
      <c r="F74" s="16" t="n"/>
      <c r="G74" s="8" t="n"/>
      <c r="H74" s="16">
        <f>IF(G74="Yes",F74,IF(G74="Partial",F74*0.5,0))</f>
        <v/>
      </c>
      <c r="I74" s="8" t="n"/>
      <c r="J74" s="8" t="n"/>
    </row>
    <row r="75">
      <c r="A75" s="8">
        <f>IF(F75="","",ROW()-3)</f>
        <v/>
      </c>
      <c r="B75" s="15" t="n"/>
      <c r="C75" s="8" t="n"/>
      <c r="D75" s="8" t="n"/>
      <c r="E75" s="8" t="n"/>
      <c r="F75" s="16" t="n"/>
      <c r="G75" s="8" t="n"/>
      <c r="H75" s="16">
        <f>IF(G75="Yes",F75,IF(G75="Partial",F75*0.5,0))</f>
        <v/>
      </c>
      <c r="I75" s="8" t="n"/>
      <c r="J75" s="8" t="n"/>
    </row>
    <row r="76">
      <c r="A76" s="8">
        <f>IF(F76="","",ROW()-3)</f>
        <v/>
      </c>
      <c r="B76" s="15" t="n"/>
      <c r="C76" s="8" t="n"/>
      <c r="D76" s="8" t="n"/>
      <c r="E76" s="8" t="n"/>
      <c r="F76" s="16" t="n"/>
      <c r="G76" s="8" t="n"/>
      <c r="H76" s="16">
        <f>IF(G76="Yes",F76,IF(G76="Partial",F76*0.5,0))</f>
        <v/>
      </c>
      <c r="I76" s="8" t="n"/>
      <c r="J76" s="8" t="n"/>
    </row>
    <row r="77">
      <c r="A77" s="8">
        <f>IF(F77="","",ROW()-3)</f>
        <v/>
      </c>
      <c r="B77" s="15" t="n"/>
      <c r="C77" s="8" t="n"/>
      <c r="D77" s="8" t="n"/>
      <c r="E77" s="8" t="n"/>
      <c r="F77" s="16" t="n"/>
      <c r="G77" s="8" t="n"/>
      <c r="H77" s="16">
        <f>IF(G77="Yes",F77,IF(G77="Partial",F77*0.5,0))</f>
        <v/>
      </c>
      <c r="I77" s="8" t="n"/>
      <c r="J77" s="8" t="n"/>
    </row>
    <row r="78">
      <c r="A78" s="8">
        <f>IF(F78="","",ROW()-3)</f>
        <v/>
      </c>
      <c r="B78" s="15" t="n"/>
      <c r="C78" s="8" t="n"/>
      <c r="D78" s="8" t="n"/>
      <c r="E78" s="8" t="n"/>
      <c r="F78" s="16" t="n"/>
      <c r="G78" s="8" t="n"/>
      <c r="H78" s="16">
        <f>IF(G78="Yes",F78,IF(G78="Partial",F78*0.5,0))</f>
        <v/>
      </c>
      <c r="I78" s="8" t="n"/>
      <c r="J78" s="8" t="n"/>
    </row>
    <row r="79">
      <c r="A79" s="8">
        <f>IF(F79="","",ROW()-3)</f>
        <v/>
      </c>
      <c r="B79" s="15" t="n"/>
      <c r="C79" s="8" t="n"/>
      <c r="D79" s="8" t="n"/>
      <c r="E79" s="8" t="n"/>
      <c r="F79" s="16" t="n"/>
      <c r="G79" s="8" t="n"/>
      <c r="H79" s="16">
        <f>IF(G79="Yes",F79,IF(G79="Partial",F79*0.5,0))</f>
        <v/>
      </c>
      <c r="I79" s="8" t="n"/>
      <c r="J79" s="8" t="n"/>
    </row>
    <row r="80">
      <c r="A80" s="8">
        <f>IF(F80="","",ROW()-3)</f>
        <v/>
      </c>
      <c r="B80" s="15" t="n"/>
      <c r="C80" s="8" t="n"/>
      <c r="D80" s="8" t="n"/>
      <c r="E80" s="8" t="n"/>
      <c r="F80" s="16" t="n"/>
      <c r="G80" s="8" t="n"/>
      <c r="H80" s="16">
        <f>IF(G80="Yes",F80,IF(G80="Partial",F80*0.5,0))</f>
        <v/>
      </c>
      <c r="I80" s="8" t="n"/>
      <c r="J80" s="8" t="n"/>
    </row>
    <row r="81">
      <c r="A81" s="8">
        <f>IF(F81="","",ROW()-3)</f>
        <v/>
      </c>
      <c r="B81" s="15" t="n"/>
      <c r="C81" s="8" t="n"/>
      <c r="D81" s="8" t="n"/>
      <c r="E81" s="8" t="n"/>
      <c r="F81" s="16" t="n"/>
      <c r="G81" s="8" t="n"/>
      <c r="H81" s="16">
        <f>IF(G81="Yes",F81,IF(G81="Partial",F81*0.5,0))</f>
        <v/>
      </c>
      <c r="I81" s="8" t="n"/>
      <c r="J81" s="8" t="n"/>
    </row>
    <row r="82">
      <c r="A82" s="8">
        <f>IF(F82="","",ROW()-3)</f>
        <v/>
      </c>
      <c r="B82" s="15" t="n"/>
      <c r="C82" s="8" t="n"/>
      <c r="D82" s="8" t="n"/>
      <c r="E82" s="8" t="n"/>
      <c r="F82" s="16" t="n"/>
      <c r="G82" s="8" t="n"/>
      <c r="H82" s="16">
        <f>IF(G82="Yes",F82,IF(G82="Partial",F82*0.5,0))</f>
        <v/>
      </c>
      <c r="I82" s="8" t="n"/>
      <c r="J82" s="8" t="n"/>
    </row>
    <row r="83">
      <c r="A83" s="8">
        <f>IF(F83="","",ROW()-3)</f>
        <v/>
      </c>
      <c r="B83" s="15" t="n"/>
      <c r="C83" s="8" t="n"/>
      <c r="D83" s="8" t="n"/>
      <c r="E83" s="8" t="n"/>
      <c r="F83" s="16" t="n"/>
      <c r="G83" s="8" t="n"/>
      <c r="H83" s="16">
        <f>IF(G83="Yes",F83,IF(G83="Partial",F83*0.5,0))</f>
        <v/>
      </c>
      <c r="I83" s="8" t="n"/>
      <c r="J83" s="8" t="n"/>
    </row>
    <row r="84">
      <c r="A84" s="8">
        <f>IF(F84="","",ROW()-3)</f>
        <v/>
      </c>
      <c r="B84" s="15" t="n"/>
      <c r="C84" s="8" t="n"/>
      <c r="D84" s="8" t="n"/>
      <c r="E84" s="8" t="n"/>
      <c r="F84" s="16" t="n"/>
      <c r="G84" s="8" t="n"/>
      <c r="H84" s="16">
        <f>IF(G84="Yes",F84,IF(G84="Partial",F84*0.5,0))</f>
        <v/>
      </c>
      <c r="I84" s="8" t="n"/>
      <c r="J84" s="8" t="n"/>
    </row>
    <row r="85">
      <c r="A85" s="8">
        <f>IF(F85="","",ROW()-3)</f>
        <v/>
      </c>
      <c r="B85" s="15" t="n"/>
      <c r="C85" s="8" t="n"/>
      <c r="D85" s="8" t="n"/>
      <c r="E85" s="8" t="n"/>
      <c r="F85" s="16" t="n"/>
      <c r="G85" s="8" t="n"/>
      <c r="H85" s="16">
        <f>IF(G85="Yes",F85,IF(G85="Partial",F85*0.5,0))</f>
        <v/>
      </c>
      <c r="I85" s="8" t="n"/>
      <c r="J85" s="8" t="n"/>
    </row>
    <row r="86">
      <c r="A86" s="8">
        <f>IF(F86="","",ROW()-3)</f>
        <v/>
      </c>
      <c r="B86" s="15" t="n"/>
      <c r="C86" s="8" t="n"/>
      <c r="D86" s="8" t="n"/>
      <c r="E86" s="8" t="n"/>
      <c r="F86" s="16" t="n"/>
      <c r="G86" s="8" t="n"/>
      <c r="H86" s="16">
        <f>IF(G86="Yes",F86,IF(G86="Partial",F86*0.5,0))</f>
        <v/>
      </c>
      <c r="I86" s="8" t="n"/>
      <c r="J86" s="8" t="n"/>
    </row>
    <row r="87">
      <c r="A87" s="8">
        <f>IF(F87="","",ROW()-3)</f>
        <v/>
      </c>
      <c r="B87" s="15" t="n"/>
      <c r="C87" s="8" t="n"/>
      <c r="D87" s="8" t="n"/>
      <c r="E87" s="8" t="n"/>
      <c r="F87" s="16" t="n"/>
      <c r="G87" s="8" t="n"/>
      <c r="H87" s="16">
        <f>IF(G87="Yes",F87,IF(G87="Partial",F87*0.5,0))</f>
        <v/>
      </c>
      <c r="I87" s="8" t="n"/>
      <c r="J87" s="8" t="n"/>
    </row>
    <row r="88">
      <c r="A88" s="8">
        <f>IF(F88="","",ROW()-3)</f>
        <v/>
      </c>
      <c r="B88" s="15" t="n"/>
      <c r="C88" s="8" t="n"/>
      <c r="D88" s="8" t="n"/>
      <c r="E88" s="8" t="n"/>
      <c r="F88" s="16" t="n"/>
      <c r="G88" s="8" t="n"/>
      <c r="H88" s="16">
        <f>IF(G88="Yes",F88,IF(G88="Partial",F88*0.5,0))</f>
        <v/>
      </c>
      <c r="I88" s="8" t="n"/>
      <c r="J88" s="8" t="n"/>
    </row>
    <row r="89">
      <c r="A89" s="8">
        <f>IF(F89="","",ROW()-3)</f>
        <v/>
      </c>
      <c r="B89" s="15" t="n"/>
      <c r="C89" s="8" t="n"/>
      <c r="D89" s="8" t="n"/>
      <c r="E89" s="8" t="n"/>
      <c r="F89" s="16" t="n"/>
      <c r="G89" s="8" t="n"/>
      <c r="H89" s="16">
        <f>IF(G89="Yes",F89,IF(G89="Partial",F89*0.5,0))</f>
        <v/>
      </c>
      <c r="I89" s="8" t="n"/>
      <c r="J89" s="8" t="n"/>
    </row>
    <row r="90">
      <c r="A90" s="8">
        <f>IF(F90="","",ROW()-3)</f>
        <v/>
      </c>
      <c r="B90" s="15" t="n"/>
      <c r="C90" s="8" t="n"/>
      <c r="D90" s="8" t="n"/>
      <c r="E90" s="8" t="n"/>
      <c r="F90" s="16" t="n"/>
      <c r="G90" s="8" t="n"/>
      <c r="H90" s="16">
        <f>IF(G90="Yes",F90,IF(G90="Partial",F90*0.5,0))</f>
        <v/>
      </c>
      <c r="I90" s="8" t="n"/>
      <c r="J90" s="8" t="n"/>
    </row>
    <row r="91">
      <c r="A91" s="8">
        <f>IF(F91="","",ROW()-3)</f>
        <v/>
      </c>
      <c r="B91" s="15" t="n"/>
      <c r="C91" s="8" t="n"/>
      <c r="D91" s="8" t="n"/>
      <c r="E91" s="8" t="n"/>
      <c r="F91" s="16" t="n"/>
      <c r="G91" s="8" t="n"/>
      <c r="H91" s="16">
        <f>IF(G91="Yes",F91,IF(G91="Partial",F91*0.5,0))</f>
        <v/>
      </c>
      <c r="I91" s="8" t="n"/>
      <c r="J91" s="8" t="n"/>
    </row>
    <row r="92">
      <c r="A92" s="8">
        <f>IF(F92="","",ROW()-3)</f>
        <v/>
      </c>
      <c r="B92" s="15" t="n"/>
      <c r="C92" s="8" t="n"/>
      <c r="D92" s="8" t="n"/>
      <c r="E92" s="8" t="n"/>
      <c r="F92" s="16" t="n"/>
      <c r="G92" s="8" t="n"/>
      <c r="H92" s="16">
        <f>IF(G92="Yes",F92,IF(G92="Partial",F92*0.5,0))</f>
        <v/>
      </c>
      <c r="I92" s="8" t="n"/>
      <c r="J92" s="8" t="n"/>
    </row>
    <row r="93">
      <c r="A93" s="8">
        <f>IF(F93="","",ROW()-3)</f>
        <v/>
      </c>
      <c r="B93" s="15" t="n"/>
      <c r="C93" s="8" t="n"/>
      <c r="D93" s="8" t="n"/>
      <c r="E93" s="8" t="n"/>
      <c r="F93" s="16" t="n"/>
      <c r="G93" s="8" t="n"/>
      <c r="H93" s="16">
        <f>IF(G93="Yes",F93,IF(G93="Partial",F93*0.5,0))</f>
        <v/>
      </c>
      <c r="I93" s="8" t="n"/>
      <c r="J93" s="8" t="n"/>
    </row>
    <row r="94">
      <c r="A94" s="8">
        <f>IF(F94="","",ROW()-3)</f>
        <v/>
      </c>
      <c r="B94" s="15" t="n"/>
      <c r="C94" s="8" t="n"/>
      <c r="D94" s="8" t="n"/>
      <c r="E94" s="8" t="n"/>
      <c r="F94" s="16" t="n"/>
      <c r="G94" s="8" t="n"/>
      <c r="H94" s="16">
        <f>IF(G94="Yes",F94,IF(G94="Partial",F94*0.5,0))</f>
        <v/>
      </c>
      <c r="I94" s="8" t="n"/>
      <c r="J94" s="8" t="n"/>
    </row>
    <row r="95">
      <c r="A95" s="8">
        <f>IF(F95="","",ROW()-3)</f>
        <v/>
      </c>
      <c r="B95" s="15" t="n"/>
      <c r="C95" s="8" t="n"/>
      <c r="D95" s="8" t="n"/>
      <c r="E95" s="8" t="n"/>
      <c r="F95" s="16" t="n"/>
      <c r="G95" s="8" t="n"/>
      <c r="H95" s="16">
        <f>IF(G95="Yes",F95,IF(G95="Partial",F95*0.5,0))</f>
        <v/>
      </c>
      <c r="I95" s="8" t="n"/>
      <c r="J95" s="8" t="n"/>
    </row>
    <row r="96">
      <c r="A96" s="8">
        <f>IF(F96="","",ROW()-3)</f>
        <v/>
      </c>
      <c r="B96" s="15" t="n"/>
      <c r="C96" s="8" t="n"/>
      <c r="D96" s="8" t="n"/>
      <c r="E96" s="8" t="n"/>
      <c r="F96" s="16" t="n"/>
      <c r="G96" s="8" t="n"/>
      <c r="H96" s="16">
        <f>IF(G96="Yes",F96,IF(G96="Partial",F96*0.5,0))</f>
        <v/>
      </c>
      <c r="I96" s="8" t="n"/>
      <c r="J96" s="8" t="n"/>
    </row>
    <row r="97">
      <c r="A97" s="8">
        <f>IF(F97="","",ROW()-3)</f>
        <v/>
      </c>
      <c r="B97" s="15" t="n"/>
      <c r="C97" s="8" t="n"/>
      <c r="D97" s="8" t="n"/>
      <c r="E97" s="8" t="n"/>
      <c r="F97" s="16" t="n"/>
      <c r="G97" s="8" t="n"/>
      <c r="H97" s="16">
        <f>IF(G97="Yes",F97,IF(G97="Partial",F97*0.5,0))</f>
        <v/>
      </c>
      <c r="I97" s="8" t="n"/>
      <c r="J97" s="8" t="n"/>
    </row>
    <row r="98">
      <c r="A98" s="8">
        <f>IF(F98="","",ROW()-3)</f>
        <v/>
      </c>
      <c r="B98" s="15" t="n"/>
      <c r="C98" s="8" t="n"/>
      <c r="D98" s="8" t="n"/>
      <c r="E98" s="8" t="n"/>
      <c r="F98" s="16" t="n"/>
      <c r="G98" s="8" t="n"/>
      <c r="H98" s="16">
        <f>IF(G98="Yes",F98,IF(G98="Partial",F98*0.5,0))</f>
        <v/>
      </c>
      <c r="I98" s="8" t="n"/>
      <c r="J98" s="8" t="n"/>
    </row>
    <row r="99">
      <c r="A99" s="8">
        <f>IF(F99="","",ROW()-3)</f>
        <v/>
      </c>
      <c r="B99" s="15" t="n"/>
      <c r="C99" s="8" t="n"/>
      <c r="D99" s="8" t="n"/>
      <c r="E99" s="8" t="n"/>
      <c r="F99" s="16" t="n"/>
      <c r="G99" s="8" t="n"/>
      <c r="H99" s="16">
        <f>IF(G99="Yes",F99,IF(G99="Partial",F99*0.5,0))</f>
        <v/>
      </c>
      <c r="I99" s="8" t="n"/>
      <c r="J99" s="8" t="n"/>
    </row>
    <row r="100">
      <c r="A100" s="8">
        <f>IF(F100="","",ROW()-3)</f>
        <v/>
      </c>
      <c r="B100" s="15" t="n"/>
      <c r="C100" s="8" t="n"/>
      <c r="D100" s="8" t="n"/>
      <c r="E100" s="8" t="n"/>
      <c r="F100" s="16" t="n"/>
      <c r="G100" s="8" t="n"/>
      <c r="H100" s="16">
        <f>IF(G100="Yes",F100,IF(G100="Partial",F100*0.5,0))</f>
        <v/>
      </c>
      <c r="I100" s="8" t="n"/>
      <c r="J100" s="8" t="n"/>
    </row>
    <row r="101">
      <c r="A101" s="8">
        <f>IF(F101="","",ROW()-3)</f>
        <v/>
      </c>
      <c r="B101" s="15" t="n"/>
      <c r="C101" s="8" t="n"/>
      <c r="D101" s="8" t="n"/>
      <c r="E101" s="8" t="n"/>
      <c r="F101" s="16" t="n"/>
      <c r="G101" s="8" t="n"/>
      <c r="H101" s="16">
        <f>IF(G101="Yes",F101,IF(G101="Partial",F101*0.5,0))</f>
        <v/>
      </c>
      <c r="I101" s="8" t="n"/>
      <c r="J101" s="8" t="n"/>
    </row>
    <row r="102">
      <c r="A102" s="8">
        <f>IF(F102="","",ROW()-3)</f>
        <v/>
      </c>
      <c r="B102" s="15" t="n"/>
      <c r="C102" s="8" t="n"/>
      <c r="D102" s="8" t="n"/>
      <c r="E102" s="8" t="n"/>
      <c r="F102" s="16" t="n"/>
      <c r="G102" s="8" t="n"/>
      <c r="H102" s="16">
        <f>IF(G102="Yes",F102,IF(G102="Partial",F102*0.5,0))</f>
        <v/>
      </c>
      <c r="I102" s="8" t="n"/>
      <c r="J102" s="8" t="n"/>
    </row>
    <row r="103">
      <c r="A103" s="8">
        <f>IF(F103="","",ROW()-3)</f>
        <v/>
      </c>
      <c r="B103" s="15" t="n"/>
      <c r="C103" s="8" t="n"/>
      <c r="D103" s="8" t="n"/>
      <c r="E103" s="8" t="n"/>
      <c r="F103" s="16" t="n"/>
      <c r="G103" s="8" t="n"/>
      <c r="H103" s="16">
        <f>IF(G103="Yes",F103,IF(G103="Partial",F103*0.5,0))</f>
        <v/>
      </c>
      <c r="I103" s="8" t="n"/>
      <c r="J103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/>
  </sheetPr>
  <dimension ref="B2:I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37" t="inlineStr">
        <is>
          <t>Freelancer Finance Dashboard</t>
        </is>
      </c>
      <c r="C2" s="21" t="n"/>
      <c r="D2" s="21" t="n"/>
      <c r="E2" s="21" t="n"/>
      <c r="F2" s="21" t="n"/>
      <c r="G2" s="21" t="n"/>
      <c r="H2" s="21" t="n"/>
      <c r="I2" s="21" t="n"/>
    </row>
    <row r="4">
      <c r="B4" s="38" t="inlineStr">
        <is>
          <t>Total Income</t>
        </is>
      </c>
      <c r="C4" s="38" t="inlineStr">
        <is>
          <t>Total Expenses</t>
        </is>
      </c>
      <c r="D4" s="38" t="inlineStr">
        <is>
          <t>Net Profit</t>
        </is>
      </c>
      <c r="E4" s="38" t="inlineStr">
        <is>
          <t>Profit Margin</t>
        </is>
      </c>
      <c r="F4" s="38" t="inlineStr">
        <is>
          <t>Tax Deductions</t>
        </is>
      </c>
      <c r="G4" s="38" t="inlineStr">
        <is>
          <t>Est. Tax Due</t>
        </is>
      </c>
      <c r="H4" s="38" t="inlineStr">
        <is>
          <t>Quarterly Payment</t>
        </is>
      </c>
      <c r="I4" s="38" t="inlineStr">
        <is>
          <t>After-Tax Income</t>
        </is>
      </c>
    </row>
    <row r="5">
      <c r="B5" s="39">
        <f>SUM(Income!H4:H8)+SUM(Income!H10:H53)</f>
        <v/>
      </c>
      <c r="C5" s="39">
        <f>SUM(Expenses!F4:F13)+SUM(Expenses!F15:F103)</f>
        <v/>
      </c>
      <c r="D5" s="40">
        <f>B5-C5</f>
        <v/>
      </c>
      <c r="E5" s="41">
        <f>IF(B5=0,0,D5/B5)</f>
        <v/>
      </c>
      <c r="F5" s="39">
        <f>SUM(Expenses!H4:H13)+SUM(Expenses!H15:H103)</f>
        <v/>
      </c>
      <c r="G5" s="42">
        <f>IF(D5&lt;=0,0,D5*0.9235*0.153+MAX(0,D5-11600)*0.12+IF(D5&gt;47150,(D5-47150)*0.1,0))</f>
        <v/>
      </c>
      <c r="H5" s="39">
        <f>G5/4</f>
        <v/>
      </c>
      <c r="I5" s="40">
        <f>D5-G5</f>
        <v/>
      </c>
    </row>
    <row r="8">
      <c r="B8" s="43" t="inlineStr">
        <is>
          <t>Monthly Income &amp; Expense Summary</t>
        </is>
      </c>
      <c r="C8" s="17" t="n"/>
      <c r="D8" s="17" t="n"/>
      <c r="E8" s="17" t="n"/>
      <c r="F8" s="17" t="n"/>
      <c r="G8" s="17" t="n"/>
    </row>
    <row r="9">
      <c r="B9" s="44" t="inlineStr">
        <is>
          <t>Month</t>
        </is>
      </c>
      <c r="C9" s="44" t="inlineStr">
        <is>
          <t>Income</t>
        </is>
      </c>
      <c r="D9" s="44" t="inlineStr">
        <is>
          <t>Expenses</t>
        </is>
      </c>
      <c r="E9" s="44" t="inlineStr">
        <is>
          <t>Net Profit</t>
        </is>
      </c>
      <c r="F9" s="44" t="inlineStr">
        <is>
          <t>Cumulative</t>
        </is>
      </c>
    </row>
    <row r="10">
      <c r="B10" s="6" t="inlineStr">
        <is>
          <t>January</t>
        </is>
      </c>
      <c r="C10" s="14">
        <f>SUMPRODUCT((MONTH(Income!$B$4:$B$8)=1)*(Income!$H$4:$H$8))+SUMPRODUCT((MONTH(Income!$B$10:$B$53)=1)*(Income!$H$10:$H$53))</f>
        <v/>
      </c>
      <c r="D10" s="14">
        <f>SUMPRODUCT((MONTH(Expenses!$B$4:$B$13)=1)*(Expenses!$F$4:$F$13))+SUMPRODUCT((MONTH(Expenses!$B$15:$B$103)=1)*(Expenses!$F$15:$F$103))</f>
        <v/>
      </c>
      <c r="E10" s="14">
        <f>C10-D10</f>
        <v/>
      </c>
      <c r="F10" s="14">
        <f>E10</f>
        <v/>
      </c>
    </row>
    <row r="11">
      <c r="B11" s="8" t="inlineStr">
        <is>
          <t>February</t>
        </is>
      </c>
      <c r="C11" s="16">
        <f>SUMPRODUCT((MONTH(Income!$B$4:$B$8)=2)*(Income!$H$4:$H$8))+SUMPRODUCT((MONTH(Income!$B$10:$B$53)=2)*(Income!$H$10:$H$53))</f>
        <v/>
      </c>
      <c r="D11" s="16">
        <f>SUMPRODUCT((MONTH(Expenses!$B$4:$B$13)=2)*(Expenses!$F$4:$F$13))+SUMPRODUCT((MONTH(Expenses!$B$15:$B$103)=2)*(Expenses!$F$15:$F$103))</f>
        <v/>
      </c>
      <c r="E11" s="16">
        <f>C11-D11</f>
        <v/>
      </c>
      <c r="F11" s="16">
        <f>F10+E11</f>
        <v/>
      </c>
    </row>
    <row r="12">
      <c r="B12" s="6" t="inlineStr">
        <is>
          <t>March</t>
        </is>
      </c>
      <c r="C12" s="14">
        <f>SUMPRODUCT((MONTH(Income!$B$4:$B$8)=3)*(Income!$H$4:$H$8))+SUMPRODUCT((MONTH(Income!$B$10:$B$53)=3)*(Income!$H$10:$H$53))</f>
        <v/>
      </c>
      <c r="D12" s="14">
        <f>SUMPRODUCT((MONTH(Expenses!$B$4:$B$13)=3)*(Expenses!$F$4:$F$13))+SUMPRODUCT((MONTH(Expenses!$B$15:$B$103)=3)*(Expenses!$F$15:$F$103))</f>
        <v/>
      </c>
      <c r="E12" s="14">
        <f>C12-D12</f>
        <v/>
      </c>
      <c r="F12" s="14">
        <f>F11+E12</f>
        <v/>
      </c>
    </row>
    <row r="13">
      <c r="B13" s="8" t="inlineStr">
        <is>
          <t>April</t>
        </is>
      </c>
      <c r="C13" s="16">
        <f>SUMPRODUCT((MONTH(Income!$B$4:$B$8)=4)*(Income!$H$4:$H$8))+SUMPRODUCT((MONTH(Income!$B$10:$B$53)=4)*(Income!$H$10:$H$53))</f>
        <v/>
      </c>
      <c r="D13" s="16">
        <f>SUMPRODUCT((MONTH(Expenses!$B$4:$B$13)=4)*(Expenses!$F$4:$F$13))+SUMPRODUCT((MONTH(Expenses!$B$15:$B$103)=4)*(Expenses!$F$15:$F$103))</f>
        <v/>
      </c>
      <c r="E13" s="16">
        <f>C13-D13</f>
        <v/>
      </c>
      <c r="F13" s="16">
        <f>F12+E13</f>
        <v/>
      </c>
    </row>
    <row r="14">
      <c r="B14" s="6" t="inlineStr">
        <is>
          <t>May</t>
        </is>
      </c>
      <c r="C14" s="14">
        <f>SUMPRODUCT((MONTH(Income!$B$4:$B$8)=5)*(Income!$H$4:$H$8))+SUMPRODUCT((MONTH(Income!$B$10:$B$53)=5)*(Income!$H$10:$H$53))</f>
        <v/>
      </c>
      <c r="D14" s="14">
        <f>SUMPRODUCT((MONTH(Expenses!$B$4:$B$13)=5)*(Expenses!$F$4:$F$13))+SUMPRODUCT((MONTH(Expenses!$B$15:$B$103)=5)*(Expenses!$F$15:$F$103))</f>
        <v/>
      </c>
      <c r="E14" s="14">
        <f>C14-D14</f>
        <v/>
      </c>
      <c r="F14" s="14">
        <f>F13+E14</f>
        <v/>
      </c>
    </row>
    <row r="15">
      <c r="B15" s="8" t="inlineStr">
        <is>
          <t>June</t>
        </is>
      </c>
      <c r="C15" s="16">
        <f>SUMPRODUCT((MONTH(Income!$B$4:$B$8)=6)*(Income!$H$4:$H$8))+SUMPRODUCT((MONTH(Income!$B$10:$B$53)=6)*(Income!$H$10:$H$53))</f>
        <v/>
      </c>
      <c r="D15" s="16">
        <f>SUMPRODUCT((MONTH(Expenses!$B$4:$B$13)=6)*(Expenses!$F$4:$F$13))+SUMPRODUCT((MONTH(Expenses!$B$15:$B$103)=6)*(Expenses!$F$15:$F$103))</f>
        <v/>
      </c>
      <c r="E15" s="16">
        <f>C15-D15</f>
        <v/>
      </c>
      <c r="F15" s="16">
        <f>F14+E15</f>
        <v/>
      </c>
    </row>
    <row r="16">
      <c r="B16" s="6" t="inlineStr">
        <is>
          <t>July</t>
        </is>
      </c>
      <c r="C16" s="14">
        <f>SUMPRODUCT((MONTH(Income!$B$4:$B$8)=7)*(Income!$H$4:$H$8))+SUMPRODUCT((MONTH(Income!$B$10:$B$53)=7)*(Income!$H$10:$H$53))</f>
        <v/>
      </c>
      <c r="D16" s="14">
        <f>SUMPRODUCT((MONTH(Expenses!$B$4:$B$13)=7)*(Expenses!$F$4:$F$13))+SUMPRODUCT((MONTH(Expenses!$B$15:$B$103)=7)*(Expenses!$F$15:$F$103))</f>
        <v/>
      </c>
      <c r="E16" s="14">
        <f>C16-D16</f>
        <v/>
      </c>
      <c r="F16" s="14">
        <f>F15+E16</f>
        <v/>
      </c>
    </row>
    <row r="17">
      <c r="B17" s="8" t="inlineStr">
        <is>
          <t>August</t>
        </is>
      </c>
      <c r="C17" s="16">
        <f>SUMPRODUCT((MONTH(Income!$B$4:$B$8)=8)*(Income!$H$4:$H$8))+SUMPRODUCT((MONTH(Income!$B$10:$B$53)=8)*(Income!$H$10:$H$53))</f>
        <v/>
      </c>
      <c r="D17" s="16">
        <f>SUMPRODUCT((MONTH(Expenses!$B$4:$B$13)=8)*(Expenses!$F$4:$F$13))+SUMPRODUCT((MONTH(Expenses!$B$15:$B$103)=8)*(Expenses!$F$15:$F$103))</f>
        <v/>
      </c>
      <c r="E17" s="16">
        <f>C17-D17</f>
        <v/>
      </c>
      <c r="F17" s="16">
        <f>F16+E17</f>
        <v/>
      </c>
    </row>
    <row r="18">
      <c r="B18" s="6" t="inlineStr">
        <is>
          <t>September</t>
        </is>
      </c>
      <c r="C18" s="14">
        <f>SUMPRODUCT((MONTH(Income!$B$4:$B$8)=9)*(Income!$H$4:$H$8))+SUMPRODUCT((MONTH(Income!$B$10:$B$53)=9)*(Income!$H$10:$H$53))</f>
        <v/>
      </c>
      <c r="D18" s="14">
        <f>SUMPRODUCT((MONTH(Expenses!$B$4:$B$13)=9)*(Expenses!$F$4:$F$13))+SUMPRODUCT((MONTH(Expenses!$B$15:$B$103)=9)*(Expenses!$F$15:$F$103))</f>
        <v/>
      </c>
      <c r="E18" s="14">
        <f>C18-D18</f>
        <v/>
      </c>
      <c r="F18" s="14">
        <f>F17+E18</f>
        <v/>
      </c>
    </row>
    <row r="19">
      <c r="B19" s="8" t="inlineStr">
        <is>
          <t>October</t>
        </is>
      </c>
      <c r="C19" s="16">
        <f>SUMPRODUCT((MONTH(Income!$B$4:$B$8)=10)*(Income!$H$4:$H$8))+SUMPRODUCT((MONTH(Income!$B$10:$B$53)=10)*(Income!$H$10:$H$53))</f>
        <v/>
      </c>
      <c r="D19" s="16">
        <f>SUMPRODUCT((MONTH(Expenses!$B$4:$B$13)=10)*(Expenses!$F$4:$F$13))+SUMPRODUCT((MONTH(Expenses!$B$15:$B$103)=10)*(Expenses!$F$15:$F$103))</f>
        <v/>
      </c>
      <c r="E19" s="16">
        <f>C19-D19</f>
        <v/>
      </c>
      <c r="F19" s="16">
        <f>F18+E19</f>
        <v/>
      </c>
    </row>
    <row r="20">
      <c r="B20" s="6" t="inlineStr">
        <is>
          <t>November</t>
        </is>
      </c>
      <c r="C20" s="14">
        <f>SUMPRODUCT((MONTH(Income!$B$4:$B$8)=11)*(Income!$H$4:$H$8))+SUMPRODUCT((MONTH(Income!$B$10:$B$53)=11)*(Income!$H$10:$H$53))</f>
        <v/>
      </c>
      <c r="D20" s="14">
        <f>SUMPRODUCT((MONTH(Expenses!$B$4:$B$13)=11)*(Expenses!$F$4:$F$13))+SUMPRODUCT((MONTH(Expenses!$B$15:$B$103)=11)*(Expenses!$F$15:$F$103))</f>
        <v/>
      </c>
      <c r="E20" s="14">
        <f>C20-D20</f>
        <v/>
      </c>
      <c r="F20" s="14">
        <f>F19+E20</f>
        <v/>
      </c>
    </row>
    <row r="21">
      <c r="B21" s="8" t="inlineStr">
        <is>
          <t>December</t>
        </is>
      </c>
      <c r="C21" s="16">
        <f>SUMPRODUCT((MONTH(Income!$B$4:$B$8)=12)*(Income!$H$4:$H$8))+SUMPRODUCT((MONTH(Income!$B$10:$B$53)=12)*(Income!$H$10:$H$53))</f>
        <v/>
      </c>
      <c r="D21" s="16">
        <f>SUMPRODUCT((MONTH(Expenses!$B$4:$B$13)=12)*(Expenses!$F$4:$F$13))+SUMPRODUCT((MONTH(Expenses!$B$15:$B$103)=12)*(Expenses!$F$15:$F$103))</f>
        <v/>
      </c>
      <c r="E21" s="16">
        <f>C21-D21</f>
        <v/>
      </c>
      <c r="F21" s="16">
        <f>F20+E21</f>
        <v/>
      </c>
    </row>
    <row r="22">
      <c r="B22" s="45" t="inlineStr">
        <is>
          <t>TOTAL</t>
        </is>
      </c>
      <c r="C22" s="46">
        <f>SUM(C10:C21)</f>
        <v/>
      </c>
      <c r="D22" s="46">
        <f>SUM(D10:D21)</f>
        <v/>
      </c>
      <c r="E22" s="46">
        <f>SUM(E10:E21)</f>
        <v/>
      </c>
      <c r="F22" s="46">
        <f>F21</f>
        <v/>
      </c>
    </row>
    <row r="24">
      <c r="B24" s="43" t="inlineStr">
        <is>
          <t>Expense Breakdown by Category</t>
        </is>
      </c>
      <c r="C24" s="17" t="n"/>
      <c r="D24" s="17" t="n"/>
      <c r="E24" s="17" t="n"/>
    </row>
    <row r="25">
      <c r="B25" s="44" t="inlineStr">
        <is>
          <t>Category</t>
        </is>
      </c>
      <c r="C25" s="44" t="inlineStr">
        <is>
          <t>Total</t>
        </is>
      </c>
      <c r="D25" s="44" t="inlineStr">
        <is>
          <t>% of Total</t>
        </is>
      </c>
      <c r="E25" s="44" t="inlineStr">
        <is>
          <t>Deductible</t>
        </is>
      </c>
    </row>
    <row r="26">
      <c r="B26" s="47" t="inlineStr">
        <is>
          <t>Office Supplies</t>
        </is>
      </c>
      <c r="C26" s="30">
        <f>SUMPRODUCT((Expenses!$D$4:$D$13="Office Supplies")*Expenses!$F$4:$F$13)+SUMPRODUCT((Expenses!$D$15:$D$103="Office Supplies")*Expenses!$F$15:$F$103)</f>
        <v/>
      </c>
      <c r="D26" s="31">
        <f>IF(C38=0,0,C26/C38)</f>
        <v/>
      </c>
      <c r="E26" s="30">
        <f>SUMPRODUCT((Expenses!$D$4:$D$13="Office Supplies")*Expenses!$H$4:$H$13)+SUMPRODUCT((Expenses!$D$15:$D$103="Office Supplies")*Expenses!$H$15:$H$103)</f>
        <v/>
      </c>
    </row>
    <row r="27">
      <c r="B27" s="48" t="inlineStr">
        <is>
          <t>Home Office</t>
        </is>
      </c>
      <c r="C27" s="32">
        <f>SUMPRODUCT((Expenses!$D$4:$D$13="Home Office")*Expenses!$F$4:$F$13)+SUMPRODUCT((Expenses!$D$15:$D$103="Home Office")*Expenses!$F$15:$F$103)</f>
        <v/>
      </c>
      <c r="D27" s="33">
        <f>IF(C38=0,0,C27/C38)</f>
        <v/>
      </c>
      <c r="E27" s="32">
        <f>SUMPRODUCT((Expenses!$D$4:$D$13="Home Office")*Expenses!$H$4:$H$13)+SUMPRODUCT((Expenses!$D$15:$D$103="Home Office")*Expenses!$H$15:$H$103)</f>
        <v/>
      </c>
    </row>
    <row r="28">
      <c r="B28" s="47" t="inlineStr">
        <is>
          <t>Travel</t>
        </is>
      </c>
      <c r="C28" s="30">
        <f>SUMPRODUCT((Expenses!$D$4:$D$13="Travel")*Expenses!$F$4:$F$13)+SUMPRODUCT((Expenses!$D$15:$D$103="Travel")*Expenses!$F$15:$F$103)</f>
        <v/>
      </c>
      <c r="D28" s="31">
        <f>IF(C38=0,0,C28/C38)</f>
        <v/>
      </c>
      <c r="E28" s="30">
        <f>SUMPRODUCT((Expenses!$D$4:$D$13="Travel")*Expenses!$H$4:$H$13)+SUMPRODUCT((Expenses!$D$15:$D$103="Travel")*Expenses!$H$15:$H$103)</f>
        <v/>
      </c>
    </row>
    <row r="29">
      <c r="B29" s="48" t="inlineStr">
        <is>
          <t>Meals &amp; Entertainment</t>
        </is>
      </c>
      <c r="C29" s="32">
        <f>SUMPRODUCT((Expenses!$D$4:$D$13="Meals &amp; Entertainment")*Expenses!$F$4:$F$13)+SUMPRODUCT((Expenses!$D$15:$D$103="Meals &amp; Entertainment")*Expenses!$F$15:$F$103)</f>
        <v/>
      </c>
      <c r="D29" s="33">
        <f>IF(C38=0,0,C29/C38)</f>
        <v/>
      </c>
      <c r="E29" s="32">
        <f>SUMPRODUCT((Expenses!$D$4:$D$13="Meals &amp; Entertainment")*Expenses!$H$4:$H$13)+SUMPRODUCT((Expenses!$D$15:$D$103="Meals &amp; Entertainment")*Expenses!$H$15:$H$103)</f>
        <v/>
      </c>
    </row>
    <row r="30">
      <c r="B30" s="47" t="inlineStr">
        <is>
          <t>Professional Services</t>
        </is>
      </c>
      <c r="C30" s="30">
        <f>SUMPRODUCT((Expenses!$D$4:$D$13="Professional Services")*Expenses!$F$4:$F$13)+SUMPRODUCT((Expenses!$D$15:$D$103="Professional Services")*Expenses!$F$15:$F$103)</f>
        <v/>
      </c>
      <c r="D30" s="31">
        <f>IF(C38=0,0,C30/C38)</f>
        <v/>
      </c>
      <c r="E30" s="30">
        <f>SUMPRODUCT((Expenses!$D$4:$D$13="Professional Services")*Expenses!$H$4:$H$13)+SUMPRODUCT((Expenses!$D$15:$D$103="Professional Services")*Expenses!$H$15:$H$103)</f>
        <v/>
      </c>
    </row>
    <row r="31">
      <c r="B31" s="48" t="inlineStr">
        <is>
          <t>Marketing &amp; Advertising</t>
        </is>
      </c>
      <c r="C31" s="32">
        <f>SUMPRODUCT((Expenses!$D$4:$D$13="Marketing &amp; Advertising")*Expenses!$F$4:$F$13)+SUMPRODUCT((Expenses!$D$15:$D$103="Marketing &amp; Advertising")*Expenses!$F$15:$F$103)</f>
        <v/>
      </c>
      <c r="D31" s="33">
        <f>IF(C38=0,0,C31/C38)</f>
        <v/>
      </c>
      <c r="E31" s="32">
        <f>SUMPRODUCT((Expenses!$D$4:$D$13="Marketing &amp; Advertising")*Expenses!$H$4:$H$13)+SUMPRODUCT((Expenses!$D$15:$D$103="Marketing &amp; Advertising")*Expenses!$H$15:$H$103)</f>
        <v/>
      </c>
    </row>
    <row r="32">
      <c r="B32" s="47" t="inlineStr">
        <is>
          <t>Insurance</t>
        </is>
      </c>
      <c r="C32" s="30">
        <f>SUMPRODUCT((Expenses!$D$4:$D$13="Insurance")*Expenses!$F$4:$F$13)+SUMPRODUCT((Expenses!$D$15:$D$103="Insurance")*Expenses!$F$15:$F$103)</f>
        <v/>
      </c>
      <c r="D32" s="31">
        <f>IF(C38=0,0,C32/C38)</f>
        <v/>
      </c>
      <c r="E32" s="30">
        <f>SUMPRODUCT((Expenses!$D$4:$D$13="Insurance")*Expenses!$H$4:$H$13)+SUMPRODUCT((Expenses!$D$15:$D$103="Insurance")*Expenses!$H$15:$H$103)</f>
        <v/>
      </c>
    </row>
    <row r="33">
      <c r="B33" s="48" t="inlineStr">
        <is>
          <t>Education &amp; Training</t>
        </is>
      </c>
      <c r="C33" s="32">
        <f>SUMPRODUCT((Expenses!$D$4:$D$13="Education &amp; Training")*Expenses!$F$4:$F$13)+SUMPRODUCT((Expenses!$D$15:$D$103="Education &amp; Training")*Expenses!$F$15:$F$103)</f>
        <v/>
      </c>
      <c r="D33" s="33">
        <f>IF(C38=0,0,C33/C38)</f>
        <v/>
      </c>
      <c r="E33" s="32">
        <f>SUMPRODUCT((Expenses!$D$4:$D$13="Education &amp; Training")*Expenses!$H$4:$H$13)+SUMPRODUCT((Expenses!$D$15:$D$103="Education &amp; Training")*Expenses!$H$15:$H$103)</f>
        <v/>
      </c>
    </row>
    <row r="34">
      <c r="B34" s="47" t="inlineStr">
        <is>
          <t>Equipment &amp; Depreciation</t>
        </is>
      </c>
      <c r="C34" s="30">
        <f>SUMPRODUCT((Expenses!$D$4:$D$13="Equipment &amp; Depreciation")*Expenses!$F$4:$F$13)+SUMPRODUCT((Expenses!$D$15:$D$103="Equipment &amp; Depreciation")*Expenses!$F$15:$F$103)</f>
        <v/>
      </c>
      <c r="D34" s="31">
        <f>IF(C38=0,0,C34/C38)</f>
        <v/>
      </c>
      <c r="E34" s="30">
        <f>SUMPRODUCT((Expenses!$D$4:$D$13="Equipment &amp; Depreciation")*Expenses!$H$4:$H$13)+SUMPRODUCT((Expenses!$D$15:$D$103="Equipment &amp; Depreciation")*Expenses!$H$15:$H$103)</f>
        <v/>
      </c>
    </row>
    <row r="35">
      <c r="B35" s="48" t="inlineStr">
        <is>
          <t>Vehicle &amp; Transportation</t>
        </is>
      </c>
      <c r="C35" s="32">
        <f>SUMPRODUCT((Expenses!$D$4:$D$13="Vehicle &amp; Transportation")*Expenses!$F$4:$F$13)+SUMPRODUCT((Expenses!$D$15:$D$103="Vehicle &amp; Transportation")*Expenses!$F$15:$F$103)</f>
        <v/>
      </c>
      <c r="D35" s="33">
        <f>IF(C38=0,0,C35/C38)</f>
        <v/>
      </c>
      <c r="E35" s="32">
        <f>SUMPRODUCT((Expenses!$D$4:$D$13="Vehicle &amp; Transportation")*Expenses!$H$4:$H$13)+SUMPRODUCT((Expenses!$D$15:$D$103="Vehicle &amp; Transportation")*Expenses!$H$15:$H$103)</f>
        <v/>
      </c>
    </row>
    <row r="36">
      <c r="B36" s="47" t="inlineStr">
        <is>
          <t>Bank Fees &amp; Interest</t>
        </is>
      </c>
      <c r="C36" s="30">
        <f>SUMPRODUCT((Expenses!$D$4:$D$13="Bank Fees &amp; Interest")*Expenses!$F$4:$F$13)+SUMPRODUCT((Expenses!$D$15:$D$103="Bank Fees &amp; Interest")*Expenses!$F$15:$F$103)</f>
        <v/>
      </c>
      <c r="D36" s="31">
        <f>IF(C38=0,0,C36/C38)</f>
        <v/>
      </c>
      <c r="E36" s="30">
        <f>SUMPRODUCT((Expenses!$D$4:$D$13="Bank Fees &amp; Interest")*Expenses!$H$4:$H$13)+SUMPRODUCT((Expenses!$D$15:$D$103="Bank Fees &amp; Interest")*Expenses!$H$15:$H$103)</f>
        <v/>
      </c>
    </row>
    <row r="37">
      <c r="B37" s="48" t="inlineStr">
        <is>
          <t>Taxes &amp; Licenses</t>
        </is>
      </c>
      <c r="C37" s="32">
        <f>SUMPRODUCT((Expenses!$D$4:$D$13="Taxes &amp; Licenses")*Expenses!$F$4:$F$13)+SUMPRODUCT((Expenses!$D$15:$D$103="Taxes &amp; Licenses")*Expenses!$F$15:$F$103)</f>
        <v/>
      </c>
      <c r="D37" s="33">
        <f>IF(C38=0,0,C37/C38)</f>
        <v/>
      </c>
      <c r="E37" s="32">
        <f>SUMPRODUCT((Expenses!$D$4:$D$13="Taxes &amp; Licenses")*Expenses!$H$4:$H$13)+SUMPRODUCT((Expenses!$D$15:$D$103="Taxes &amp; Licenses")*Expenses!$H$15:$H$103)</f>
        <v/>
      </c>
    </row>
    <row r="38">
      <c r="B38" s="45" t="inlineStr">
        <is>
          <t>TOTAL</t>
        </is>
      </c>
      <c r="C38" s="46">
        <f>SUM(C26:C37)</f>
        <v/>
      </c>
      <c r="D38" s="49">
        <f>SUM(D26:D37)</f>
        <v/>
      </c>
      <c r="E38" s="46">
        <f>SUM(E26:E37)</f>
        <v/>
      </c>
    </row>
    <row r="40">
      <c r="B40" s="43" t="inlineStr">
        <is>
          <t>Top Clients by Revenue</t>
        </is>
      </c>
      <c r="C40" s="17" t="n"/>
      <c r="D40" s="17" t="n"/>
      <c r="E40" s="17" t="n"/>
    </row>
    <row r="41">
      <c r="B41" s="44" t="inlineStr">
        <is>
          <t>Client</t>
        </is>
      </c>
      <c r="C41" s="44" t="inlineStr">
        <is>
          <t>Total Revenue</t>
        </is>
      </c>
      <c r="D41" s="44" t="inlineStr">
        <is>
          <t># Invoices</t>
        </is>
      </c>
      <c r="E41" s="44" t="inlineStr">
        <is>
          <t>Avg per Invoice</t>
        </is>
      </c>
    </row>
    <row r="42">
      <c r="B42" s="47" t="inlineStr">
        <is>
          <t>Acme Corp</t>
        </is>
      </c>
      <c r="C42" s="30">
        <f>SUMIF(Income!$D$4:$D$53,"Acme Corp",Income!$H$4:$H$53)</f>
        <v/>
      </c>
      <c r="D42" s="35">
        <f>COUNTIF(Income!$D$4:$D$53,"Acme Corp")</f>
        <v/>
      </c>
      <c r="E42" s="30">
        <f>IF(D42=0,0,C42/D42)</f>
        <v/>
      </c>
    </row>
    <row r="43">
      <c r="B43" s="48" t="inlineStr">
        <is>
          <t>TechStart Inc</t>
        </is>
      </c>
      <c r="C43" s="32">
        <f>SUMIF(Income!$D$4:$D$53,"TechStart Inc",Income!$H$4:$H$53)</f>
        <v/>
      </c>
      <c r="D43" s="36">
        <f>COUNTIF(Income!$D$4:$D$53,"TechStart Inc")</f>
        <v/>
      </c>
      <c r="E43" s="32">
        <f>IF(D43=0,0,C43/D43)</f>
        <v/>
      </c>
    </row>
    <row r="44">
      <c r="B44" s="47" t="inlineStr">
        <is>
          <t>MediaCo</t>
        </is>
      </c>
      <c r="C44" s="30">
        <f>SUMIF(Income!$D$4:$D$53,"MediaCo",Income!$H$4:$H$53)</f>
        <v/>
      </c>
      <c r="D44" s="35">
        <f>COUNTIF(Income!$D$4:$D$53,"MediaCo")</f>
        <v/>
      </c>
      <c r="E44" s="30">
        <f>IF(D44=0,0,C44/D44)</f>
        <v/>
      </c>
    </row>
    <row r="45">
      <c r="B45" s="48" t="inlineStr">
        <is>
          <t>LocalShop</t>
        </is>
      </c>
      <c r="C45" s="32">
        <f>SUMIF(Income!$D$4:$D$53,"LocalShop",Income!$H$4:$H$53)</f>
        <v/>
      </c>
      <c r="D45" s="36">
        <f>COUNTIF(Income!$D$4:$D$53,"LocalShop")</f>
        <v/>
      </c>
      <c r="E45" s="32">
        <f>IF(D45=0,0,C45/D45)</f>
        <v/>
      </c>
    </row>
    <row r="47">
      <c r="B47" s="43" t="inlineStr">
        <is>
          <t>2026 Quarterly Tax Payment Schedule</t>
        </is>
      </c>
      <c r="C47" s="17" t="n"/>
      <c r="D47" s="17" t="n"/>
      <c r="E47" s="17" t="n"/>
      <c r="F47" s="17" t="n"/>
    </row>
    <row r="48">
      <c r="B48" s="44" t="inlineStr">
        <is>
          <t>Quarter</t>
        </is>
      </c>
      <c r="C48" s="44" t="inlineStr">
        <is>
          <t>Deadline</t>
        </is>
      </c>
      <c r="D48" s="44" t="inlineStr">
        <is>
          <t>Payment Due</t>
        </is>
      </c>
      <c r="E48" s="44" t="inlineStr">
        <is>
          <t>Income Period</t>
        </is>
      </c>
      <c r="F48" s="44" t="inlineStr">
        <is>
          <t>Status</t>
        </is>
      </c>
    </row>
    <row r="49">
      <c r="B49" s="47" t="inlineStr">
        <is>
          <t>Q1</t>
        </is>
      </c>
      <c r="C49" s="6" t="inlineStr">
        <is>
          <t>Apr 15, 2026</t>
        </is>
      </c>
      <c r="D49" s="14">
        <f>G5/4</f>
        <v/>
      </c>
      <c r="E49" s="6" t="inlineStr">
        <is>
          <t>Jan 1 - Mar 31</t>
        </is>
      </c>
      <c r="F49" s="6" t="inlineStr">
        <is>
          <t>Upcoming</t>
        </is>
      </c>
    </row>
    <row r="50">
      <c r="B50" s="48" t="inlineStr">
        <is>
          <t>Q2</t>
        </is>
      </c>
      <c r="C50" s="8" t="inlineStr">
        <is>
          <t>Jun 15, 2026</t>
        </is>
      </c>
      <c r="D50" s="16">
        <f>G5/4</f>
        <v/>
      </c>
      <c r="E50" s="8" t="inlineStr">
        <is>
          <t>Apr 1 - May 31</t>
        </is>
      </c>
      <c r="F50" s="8" t="inlineStr">
        <is>
          <t>Upcoming</t>
        </is>
      </c>
    </row>
    <row r="51">
      <c r="B51" s="47" t="inlineStr">
        <is>
          <t>Q3</t>
        </is>
      </c>
      <c r="C51" s="6" t="inlineStr">
        <is>
          <t>Sep 15, 2026</t>
        </is>
      </c>
      <c r="D51" s="14">
        <f>G5/4</f>
        <v/>
      </c>
      <c r="E51" s="6" t="inlineStr">
        <is>
          <t>Jun 1 - Aug 31</t>
        </is>
      </c>
      <c r="F51" s="6" t="inlineStr">
        <is>
          <t>Upcoming</t>
        </is>
      </c>
    </row>
    <row r="52">
      <c r="B52" s="48" t="inlineStr">
        <is>
          <t>Q4</t>
        </is>
      </c>
      <c r="C52" s="8" t="inlineStr">
        <is>
          <t>Jan 15, 2027</t>
        </is>
      </c>
      <c r="D52" s="16">
        <f>G5/4</f>
        <v/>
      </c>
      <c r="E52" s="8" t="inlineStr">
        <is>
          <t>Sep 1 - Dec 31</t>
        </is>
      </c>
      <c r="F52" s="8" t="inlineStr">
        <is>
          <t>Upcoming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2026-05-11T08:40:43Z</dcterms:created>
  <dcterms:modified xmlns:dcterms="http://purl.org/dc/terms/" xmlns:xsi="http://www.w3.org/2001/XMLSchema-instance" xsi:type="dcterms:W3CDTF">2026-05-11T09:28:32Z</dcterms:modified>
</cp:coreProperties>
</file>